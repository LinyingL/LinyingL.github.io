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adata" sheetId="1" state="visible" r:id="rId1"/>
    <sheet xmlns:r="http://schemas.openxmlformats.org/officeDocument/2006/relationships" name="Annual_time_series" sheetId="2" state="visible" r:id="rId2"/>
    <sheet xmlns:r="http://schemas.openxmlformats.org/officeDocument/2006/relationships" name="Key_findings" sheetId="3" state="visible" r:id="rId3"/>
    <sheet xmlns:r="http://schemas.openxmlformats.org/officeDocument/2006/relationships" name="Data_sourc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1"/>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164" fontId="4" fillId="0" borderId="1" applyAlignment="1" pivotButton="0" quotePrefix="0" xfId="0">
      <alignment horizontal="right" vertical="center"/>
    </xf>
    <xf numFmtId="2" fontId="4" fillId="0" borderId="1" applyAlignment="1" pivotButton="0" quotePrefix="0" xfId="0">
      <alignment horizontal="right" vertical="center"/>
    </xf>
    <xf numFmtId="0" fontId="4" fillId="3" borderId="1" applyAlignment="1" pivotButton="0" quotePrefix="0" xfId="0">
      <alignment horizontal="center" vertical="center" wrapText="1"/>
    </xf>
    <xf numFmtId="4" fontId="4" fillId="3" borderId="1" applyAlignment="1" pivotButton="0" quotePrefix="0" xfId="0">
      <alignment horizontal="right" vertical="center"/>
    </xf>
    <xf numFmtId="164" fontId="4" fillId="3" borderId="1" applyAlignment="1" pivotButton="0" quotePrefix="0" xfId="0">
      <alignment horizontal="right" vertical="center"/>
    </xf>
    <xf numFmtId="2" fontId="4" fillId="3" borderId="1" applyAlignment="1" pivotButton="0" quotePrefix="0" xfId="0">
      <alignment horizontal="right" vertical="center"/>
    </xf>
    <xf numFmtId="0" fontId="5" fillId="0" borderId="0" pivotButton="0" quotePrefix="0" xfId="0"/>
    <xf numFmtId="0" fontId="4"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10" customWidth="1" min="2" max="2"/>
  </cols>
  <sheetData>
    <row r="1" ht="28" customHeight="1">
      <c r="A1" s="1" t="inlineStr">
        <is>
          <t>National central-to-local transfer payment composition time series, 2013-2026</t>
        </is>
      </c>
    </row>
    <row r="3" ht="60" customHeight="1">
      <c r="A3" s="15" t="inlineStr">
        <is>
          <t>Description</t>
        </is>
      </c>
      <c r="B3" s="13" t="inlineStr">
        <is>
          <t>Year-by-year decomposition of central-to-local transfer payments into tax rebates, discretionary general transfers, shared fiscal responsibility, and special/Category-3 transfers, with shares and total volume. Pre-2019 figures reconstructed to a comparable post-2019 caliber by including tax rebates back in the transfer envelope.</t>
        </is>
      </c>
    </row>
    <row r="4" ht="22" customHeight="1">
      <c r="A4" s="15" t="inlineStr">
        <is>
          <t>Publisher</t>
        </is>
      </c>
      <c r="B4" s="13" t="inlineStr">
        <is>
          <t>Linying Li</t>
        </is>
      </c>
    </row>
    <row r="5" ht="22" customHeight="1">
      <c r="A5" s="15" t="inlineStr">
        <is>
          <t>Author</t>
        </is>
      </c>
      <c r="B5" s="13" t="inlineStr">
        <is>
          <t>Linying Li</t>
        </is>
      </c>
    </row>
    <row r="6" ht="22" customHeight="1">
      <c r="A6" s="15" t="inlineStr">
        <is>
          <t>License</t>
        </is>
      </c>
      <c r="B6" s="13" t="inlineStr">
        <is>
          <t>CC BY 4.0 (Creative Commons Attribution 4.0 International)</t>
        </is>
      </c>
    </row>
    <row r="7" ht="22" customHeight="1">
      <c r="A7" s="15" t="inlineStr">
        <is>
          <t>License URL</t>
        </is>
      </c>
      <c r="B7" s="13" t="inlineStr">
        <is>
          <t>https://creativecommons.org/licenses/by/4.0/</t>
        </is>
      </c>
    </row>
    <row r="8" ht="60" customHeight="1">
      <c r="A8" s="15" t="inlineStr">
        <is>
          <t>Citation</t>
        </is>
      </c>
      <c r="B8" s="13" t="inlineStr">
        <is>
          <t>Linying Li, "How Beijing Centralized by Letting Go: Data and Code," https://linyingl.github.io/posts/how-beijing-centralized-by-letting-go/ (2026). CC BY 4.0.</t>
        </is>
      </c>
    </row>
    <row r="10" ht="60" customHeight="1">
      <c r="A10" s="15" t="inlineStr">
        <is>
          <t>Data source 1</t>
        </is>
      </c>
      <c r="B10" s="13" t="inlineStr">
        <is>
          <t>Central-to-Local Transfer Payment Final Account Tables, 2013-2024 — Ministry of Finance Budget Department, yss.mof.gov.cn (annual)</t>
        </is>
      </c>
    </row>
    <row r="11" ht="36" customHeight="1">
      <c r="A11" s="15" t="inlineStr">
        <is>
          <t>Data source 2</t>
        </is>
      </c>
      <c r="B11" s="13" t="inlineStr">
        <is>
          <t>2026 Central-to-Local Transfer Payment Budget Table — http://yss.mof.gov.cn/2026zyczys/202603/t20260324_3986014.htm</t>
        </is>
      </c>
    </row>
    <row r="12" ht="36" customHeight="1">
      <c r="A12" s="15" t="inlineStr">
        <is>
          <t>Data source 3</t>
        </is>
      </c>
      <c r="B12" s="13" t="inlineStr">
        <is>
          <t>2025 Central-to-Local Transfer Payment Budget Table — http://yss.mof.gov.cn/2025zyczys/202503/t20250324_3960476.htm</t>
        </is>
      </c>
    </row>
    <row r="13" ht="36" customHeight="1">
      <c r="A13" s="15" t="inlineStr">
        <is>
          <t>Source publisher</t>
        </is>
      </c>
      <c r="B13" s="13" t="inlineStr">
        <is>
          <t>Ministry of Finance Budget Department, People's Republic of China</t>
        </is>
      </c>
    </row>
    <row r="14" ht="22" customHeight="1">
      <c r="A14" s="15" t="inlineStr">
        <is>
          <t>Source release date</t>
        </is>
      </c>
      <c r="B14" s="13" t="inlineStr">
        <is>
          <t>2014-07 through 2026-03 (rolling annual releases)</t>
        </is>
      </c>
    </row>
    <row r="15" ht="22" customHeight="1">
      <c r="A15" s="15" t="inlineStr">
        <is>
          <t>Date accessed</t>
        </is>
      </c>
      <c r="B15" s="13" t="inlineStr">
        <is>
          <t>2026-05-10</t>
        </is>
      </c>
    </row>
    <row r="17" ht="36" customHeight="1">
      <c r="A17" s="15" t="inlineStr">
        <is>
          <t>Unit</t>
        </is>
      </c>
      <c r="B17" s="13" t="inlineStr">
        <is>
          <t>100 million RMB (亿元); shares in percent; total in trillion RMB</t>
        </is>
      </c>
    </row>
    <row r="18" ht="60" customHeight="1">
      <c r="A18" s="15" t="inlineStr">
        <is>
          <t>Methodology</t>
        </is>
      </c>
      <c r="B18" s="13" t="inlineStr">
        <is>
          <t>Years 2013-2024 are final accounts. 2025 is "near-actual" derived from the 2026 budget document's "2025 execution" column. 2026 is the formal budget. The "discretionary share" line is defined as (general transfer - tax rebates - shared fiscal responsibility) / total transfer payment, reportable only from 2019 onward when shared fiscal responsibility was first separated.</t>
        </is>
      </c>
    </row>
    <row r="19" ht="60" customHeight="1">
      <c r="A19" s="15" t="inlineStr">
        <is>
          <t>Caliber notes</t>
        </is>
      </c>
      <c r="B19" s="13" t="inlineStr">
        <is>
          <t>2014 special-purpose grant consolidation reduced category count. 2019 separation of shared fiscal responsibility reorganized reporting but not underlying spending. Tax rebates were a separate row pre-2019, bundled into general transfer post-2019; this dataset reconstructs a comparable total across the break.</t>
        </is>
      </c>
    </row>
    <row r="20" ht="60" customHeight="1">
      <c r="A20" s="15" t="inlineStr">
        <is>
          <t>Missing value convention</t>
        </is>
      </c>
      <c r="B20" s="13" t="inlineStr">
        <is>
          <t>"—" or "N/A" indicates the figure is not separately reported in the source for that year (typically because the category did not exist or was bundled elsewhere). Blank cells indicate data not available in the published source.</t>
        </is>
      </c>
    </row>
    <row r="22" ht="22" customHeight="1">
      <c r="A22" s="15" t="inlineStr">
        <is>
          <t>Dataset version</t>
        </is>
      </c>
      <c r="B22" s="13" t="inlineStr">
        <is>
          <t>1.1.0</t>
        </is>
      </c>
    </row>
    <row r="23" ht="22" customHeight="1">
      <c r="A23" s="15" t="inlineStr">
        <is>
          <t>Last updated</t>
        </is>
      </c>
      <c r="B23" s="13" t="inlineStr">
        <is>
          <t>2026-05-10</t>
        </is>
      </c>
    </row>
    <row r="24" ht="36" customHeight="1">
      <c r="A24" s="15" t="inlineStr">
        <is>
          <t>Homepage</t>
        </is>
      </c>
      <c r="B24" s="13" t="inlineStr">
        <is>
          <t>https://linyingl.github.io/posts/how-beijing-centralized-by-letting-go/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7" customWidth="1" min="1" max="1"/>
    <col width="7" customWidth="1" min="2" max="2"/>
    <col width="16" customWidth="1" min="3" max="3"/>
    <col width="12" customWidth="1" min="4" max="4"/>
    <col width="14" customWidth="1" min="5" max="5"/>
    <col width="14" customWidth="1" min="6" max="6"/>
    <col width="13" customWidth="1" min="7" max="7"/>
    <col width="11" customWidth="1" min="8" max="8"/>
    <col width="10" customWidth="1" min="9" max="9"/>
    <col width="12" customWidth="1" min="10" max="10"/>
    <col width="11" customWidth="1" min="11" max="11"/>
    <col width="16" customWidth="1" min="12" max="12"/>
    <col width="11" customWidth="1" min="13" max="13"/>
  </cols>
  <sheetData>
    <row r="1">
      <c r="A1" s="1" t="inlineStr">
        <is>
          <t>中央对地方转移支付结构 2013–2026（绝对额 + 占比）</t>
        </is>
      </c>
    </row>
    <row r="2">
      <c r="A2" s="2" t="inlineStr">
        <is>
          <t>单位：亿元（金额）/ %（占比）；数据来源：财政部预算司</t>
        </is>
      </c>
    </row>
    <row r="4" ht="36" customHeight="1">
      <c r="A4" s="3" t="inlineStr">
        <is>
          <t>年份</t>
        </is>
      </c>
      <c r="B4" s="3" t="inlineStr">
        <is>
          <t>口径</t>
        </is>
      </c>
      <c r="C4" s="3" t="inlineStr">
        <is>
          <t>总转移支付（含税收返还）</t>
        </is>
      </c>
      <c r="D4" s="3" t="inlineStr">
        <is>
          <t>税收返还</t>
        </is>
      </c>
      <c r="E4" s="3" t="inlineStr">
        <is>
          <t>一般性其他（自由）</t>
        </is>
      </c>
      <c r="F4" s="3" t="inlineStr">
        <is>
          <t>共同财政事权</t>
        </is>
      </c>
      <c r="G4" s="3" t="inlineStr">
        <is>
          <t>专项+三、</t>
        </is>
      </c>
      <c r="H4" s="3" t="inlineStr">
        <is>
          <t>占比：税收返还</t>
        </is>
      </c>
      <c r="I4" s="3" t="inlineStr">
        <is>
          <t>占比：自由</t>
        </is>
      </c>
      <c r="J4" s="3" t="inlineStr">
        <is>
          <t>占比：共同事权</t>
        </is>
      </c>
      <c r="K4" s="3" t="inlineStr">
        <is>
          <t>占比：专项+三</t>
        </is>
      </c>
      <c r="L4" s="3" t="inlineStr">
        <is>
          <t>共同事权 / 一般性(净)</t>
        </is>
      </c>
      <c r="M4" s="3" t="inlineStr">
        <is>
          <t>总规模(万亿)</t>
        </is>
      </c>
    </row>
    <row r="5">
      <c r="A5" s="4" t="n">
        <v>2013</v>
      </c>
      <c r="B5" s="4" t="inlineStr">
        <is>
          <t>决算</t>
        </is>
      </c>
      <c r="C5" s="5" t="n">
        <v>48019.92</v>
      </c>
      <c r="D5" s="5" t="n">
        <v>5046.74</v>
      </c>
      <c r="E5" s="5" t="inlineStr">
        <is>
          <t>N/A</t>
        </is>
      </c>
      <c r="F5" s="5" t="inlineStr">
        <is>
          <t>N/A</t>
        </is>
      </c>
      <c r="G5" s="5" t="n">
        <v>18610.46</v>
      </c>
      <c r="H5" s="6">
        <f>D5/C5</f>
        <v/>
      </c>
      <c r="I5" s="6" t="inlineStr">
        <is>
          <t>N/A</t>
        </is>
      </c>
      <c r="J5" s="6" t="inlineStr">
        <is>
          <t>N/A</t>
        </is>
      </c>
      <c r="K5" s="6">
        <f>G5/C5</f>
        <v/>
      </c>
      <c r="L5" s="6" t="inlineStr">
        <is>
          <t>N/A</t>
        </is>
      </c>
      <c r="M5" s="7">
        <f>C5/10000</f>
        <v/>
      </c>
    </row>
    <row r="6">
      <c r="A6" s="4" t="n">
        <v>2014</v>
      </c>
      <c r="B6" s="4" t="inlineStr">
        <is>
          <t>决算</t>
        </is>
      </c>
      <c r="C6" s="5" t="n">
        <v>51591.04</v>
      </c>
      <c r="D6" s="5" t="n">
        <v>5081.55</v>
      </c>
      <c r="E6" s="5" t="inlineStr">
        <is>
          <t>N/A</t>
        </is>
      </c>
      <c r="F6" s="5" t="inlineStr">
        <is>
          <t>N/A</t>
        </is>
      </c>
      <c r="G6" s="5" t="n">
        <v>18941.12</v>
      </c>
      <c r="H6" s="6">
        <f>D6/C6</f>
        <v/>
      </c>
      <c r="I6" s="6" t="inlineStr">
        <is>
          <t>N/A</t>
        </is>
      </c>
      <c r="J6" s="6" t="inlineStr">
        <is>
          <t>N/A</t>
        </is>
      </c>
      <c r="K6" s="6">
        <f>G6/C6</f>
        <v/>
      </c>
      <c r="L6" s="6" t="inlineStr">
        <is>
          <t>N/A</t>
        </is>
      </c>
      <c r="M6" s="7">
        <f>C6/10000</f>
        <v/>
      </c>
    </row>
    <row r="7">
      <c r="A7" s="4" t="n">
        <v>2015</v>
      </c>
      <c r="B7" s="4" t="inlineStr">
        <is>
          <t>决算</t>
        </is>
      </c>
      <c r="C7" s="5" t="n">
        <v>55097.51</v>
      </c>
      <c r="D7" s="5" t="n">
        <v>5018.86</v>
      </c>
      <c r="E7" s="5" t="inlineStr">
        <is>
          <t>N/A</t>
        </is>
      </c>
      <c r="F7" s="5" t="inlineStr">
        <is>
          <t>N/A</t>
        </is>
      </c>
      <c r="G7" s="5" t="n">
        <v>21623.63</v>
      </c>
      <c r="H7" s="6">
        <f>D7/C7</f>
        <v/>
      </c>
      <c r="I7" s="6" t="inlineStr">
        <is>
          <t>N/A</t>
        </is>
      </c>
      <c r="J7" s="6" t="inlineStr">
        <is>
          <t>N/A</t>
        </is>
      </c>
      <c r="K7" s="6">
        <f>G7/C7</f>
        <v/>
      </c>
      <c r="L7" s="6" t="inlineStr">
        <is>
          <t>N/A</t>
        </is>
      </c>
      <c r="M7" s="7">
        <f>C7/10000</f>
        <v/>
      </c>
    </row>
    <row r="8">
      <c r="A8" s="4" t="n">
        <v>2016</v>
      </c>
      <c r="B8" s="4" t="inlineStr">
        <is>
          <t>决算</t>
        </is>
      </c>
      <c r="C8" s="5" t="n">
        <v>59400.7</v>
      </c>
      <c r="D8" s="5" t="n">
        <v>6826.84</v>
      </c>
      <c r="E8" s="5" t="inlineStr">
        <is>
          <t>N/A</t>
        </is>
      </c>
      <c r="F8" s="5" t="inlineStr">
        <is>
          <t>N/A</t>
        </is>
      </c>
      <c r="G8" s="5" t="n">
        <v>20708.93</v>
      </c>
      <c r="H8" s="6">
        <f>D8/C8</f>
        <v/>
      </c>
      <c r="I8" s="6" t="inlineStr">
        <is>
          <t>N/A</t>
        </is>
      </c>
      <c r="J8" s="6" t="inlineStr">
        <is>
          <t>N/A</t>
        </is>
      </c>
      <c r="K8" s="6">
        <f>G8/C8</f>
        <v/>
      </c>
      <c r="L8" s="6" t="inlineStr">
        <is>
          <t>N/A</t>
        </is>
      </c>
      <c r="M8" s="7">
        <f>C8/10000</f>
        <v/>
      </c>
    </row>
    <row r="9">
      <c r="A9" s="4" t="n">
        <v>2017</v>
      </c>
      <c r="B9" s="4" t="inlineStr">
        <is>
          <t>决算</t>
        </is>
      </c>
      <c r="C9" s="5" t="n">
        <v>65051.78</v>
      </c>
      <c r="D9" s="5" t="n">
        <v>8022.83</v>
      </c>
      <c r="E9" s="5" t="inlineStr">
        <is>
          <t>N/A</t>
        </is>
      </c>
      <c r="F9" s="5" t="inlineStr">
        <is>
          <t>N/A</t>
        </is>
      </c>
      <c r="G9" s="5" t="n">
        <v>21883.36</v>
      </c>
      <c r="H9" s="6">
        <f>D9/C9</f>
        <v/>
      </c>
      <c r="I9" s="6" t="inlineStr">
        <is>
          <t>N/A</t>
        </is>
      </c>
      <c r="J9" s="6" t="inlineStr">
        <is>
          <t>N/A</t>
        </is>
      </c>
      <c r="K9" s="6">
        <f>G9/C9</f>
        <v/>
      </c>
      <c r="L9" s="6" t="inlineStr">
        <is>
          <t>N/A</t>
        </is>
      </c>
      <c r="M9" s="7">
        <f>C9/10000</f>
        <v/>
      </c>
    </row>
    <row r="10">
      <c r="A10" s="4" t="n">
        <v>2018</v>
      </c>
      <c r="B10" s="4" t="inlineStr">
        <is>
          <t>决算</t>
        </is>
      </c>
      <c r="C10" s="5" t="n">
        <v>69680.66</v>
      </c>
      <c r="D10" s="5" t="n">
        <v>8031.51</v>
      </c>
      <c r="E10" s="5" t="inlineStr">
        <is>
          <t>N/A</t>
        </is>
      </c>
      <c r="F10" s="5" t="inlineStr">
        <is>
          <t>N/A</t>
        </is>
      </c>
      <c r="G10" s="5" t="n">
        <v>22927.09</v>
      </c>
      <c r="H10" s="6">
        <f>D10/C10</f>
        <v/>
      </c>
      <c r="I10" s="6" t="inlineStr">
        <is>
          <t>N/A</t>
        </is>
      </c>
      <c r="J10" s="6" t="inlineStr">
        <is>
          <t>N/A</t>
        </is>
      </c>
      <c r="K10" s="6">
        <f>G10/C10</f>
        <v/>
      </c>
      <c r="L10" s="6" t="inlineStr">
        <is>
          <t>N/A</t>
        </is>
      </c>
      <c r="M10" s="7">
        <f>C10/10000</f>
        <v/>
      </c>
    </row>
    <row r="11">
      <c r="A11" s="4" t="n">
        <v>2019</v>
      </c>
      <c r="B11" s="4" t="inlineStr">
        <is>
          <t>决算</t>
        </is>
      </c>
      <c r="C11" s="5" t="n">
        <v>74359.86</v>
      </c>
      <c r="D11" s="5" t="n">
        <v>11251.78</v>
      </c>
      <c r="E11" s="5" t="n">
        <v>23643.39</v>
      </c>
      <c r="F11" s="5" t="n">
        <v>31902.99</v>
      </c>
      <c r="G11" s="5" t="n">
        <v>7561.7</v>
      </c>
      <c r="H11" s="6">
        <f>D11/C11</f>
        <v/>
      </c>
      <c r="I11" s="6">
        <f>E11/C11</f>
        <v/>
      </c>
      <c r="J11" s="6">
        <f>F11/C11</f>
        <v/>
      </c>
      <c r="K11" s="6">
        <f>G11/C11</f>
        <v/>
      </c>
      <c r="L11" s="6">
        <f>F11/(E11+F11)</f>
        <v/>
      </c>
      <c r="M11" s="7">
        <f>C11/10000</f>
        <v/>
      </c>
    </row>
    <row r="12">
      <c r="A12" s="4" t="n">
        <v>2020</v>
      </c>
      <c r="B12" s="4" t="inlineStr">
        <is>
          <t>决算</t>
        </is>
      </c>
      <c r="C12" s="5" t="n">
        <v>83217.92999999999</v>
      </c>
      <c r="D12" s="5" t="n">
        <v>11275.64</v>
      </c>
      <c r="E12" s="5" t="n">
        <v>26003.5</v>
      </c>
      <c r="F12" s="5" t="n">
        <v>32180.72</v>
      </c>
      <c r="G12" s="5" t="n">
        <v>13758.07</v>
      </c>
      <c r="H12" s="6">
        <f>D12/C12</f>
        <v/>
      </c>
      <c r="I12" s="6">
        <f>E12/C12</f>
        <v/>
      </c>
      <c r="J12" s="6">
        <f>F12/C12</f>
        <v/>
      </c>
      <c r="K12" s="6">
        <f>G12/C12</f>
        <v/>
      </c>
      <c r="L12" s="6">
        <f>F12/(E12+F12)</f>
        <v/>
      </c>
      <c r="M12" s="7">
        <f>C12/10000</f>
        <v/>
      </c>
    </row>
    <row r="13">
      <c r="A13" s="4" t="n">
        <v>2021</v>
      </c>
      <c r="B13" s="4" t="inlineStr">
        <is>
          <t>决算</t>
        </is>
      </c>
      <c r="C13" s="5" t="n">
        <v>82152.34</v>
      </c>
      <c r="D13" s="5" t="n">
        <v>11569.67</v>
      </c>
      <c r="E13" s="5" t="n">
        <v>28970.8</v>
      </c>
      <c r="F13" s="5" t="n">
        <v>34258.82</v>
      </c>
      <c r="G13" s="5" t="n">
        <v>7353.05</v>
      </c>
      <c r="H13" s="6">
        <f>D13/C13</f>
        <v/>
      </c>
      <c r="I13" s="6">
        <f>E13/C13</f>
        <v/>
      </c>
      <c r="J13" s="6">
        <f>F13/C13</f>
        <v/>
      </c>
      <c r="K13" s="6">
        <f>G13/C13</f>
        <v/>
      </c>
      <c r="L13" s="6">
        <f>F13/(E13+F13)</f>
        <v/>
      </c>
      <c r="M13" s="7">
        <f>C13/10000</f>
        <v/>
      </c>
    </row>
    <row r="14">
      <c r="A14" s="4" t="n">
        <v>2022</v>
      </c>
      <c r="B14" s="4" t="inlineStr">
        <is>
          <t>决算</t>
        </is>
      </c>
      <c r="C14" s="5" t="n">
        <v>96941.82000000001</v>
      </c>
      <c r="D14" s="5" t="n">
        <v>11836.9</v>
      </c>
      <c r="E14" s="5" t="n">
        <v>32620.28000000001</v>
      </c>
      <c r="F14" s="5" t="n">
        <v>36354.12</v>
      </c>
      <c r="G14" s="5" t="n">
        <v>16130.52</v>
      </c>
      <c r="H14" s="6">
        <f>D14/C14</f>
        <v/>
      </c>
      <c r="I14" s="6">
        <f>E14/C14</f>
        <v/>
      </c>
      <c r="J14" s="6">
        <f>F14/C14</f>
        <v/>
      </c>
      <c r="K14" s="6">
        <f>G14/C14</f>
        <v/>
      </c>
      <c r="L14" s="6">
        <f>F14/(E14+F14)</f>
        <v/>
      </c>
      <c r="M14" s="7">
        <f>C14/10000</f>
        <v/>
      </c>
    </row>
    <row r="15">
      <c r="A15" s="4" t="n">
        <v>2023</v>
      </c>
      <c r="B15" s="4" t="inlineStr">
        <is>
          <t>决算</t>
        </is>
      </c>
      <c r="C15" s="5" t="n">
        <v>102836.32</v>
      </c>
      <c r="D15" s="5" t="n">
        <v>11309.48</v>
      </c>
      <c r="E15" s="5" t="n">
        <v>36933.39000000001</v>
      </c>
      <c r="F15" s="5" t="n">
        <v>36794.04</v>
      </c>
      <c r="G15" s="5" t="n">
        <v>17799.41</v>
      </c>
      <c r="H15" s="6">
        <f>D15/C15</f>
        <v/>
      </c>
      <c r="I15" s="6">
        <f>E15/C15</f>
        <v/>
      </c>
      <c r="J15" s="6">
        <f>F15/C15</f>
        <v/>
      </c>
      <c r="K15" s="6">
        <f>G15/C15</f>
        <v/>
      </c>
      <c r="L15" s="6">
        <f>F15/(E15+F15)</f>
        <v/>
      </c>
      <c r="M15" s="7">
        <f>C15/10000</f>
        <v/>
      </c>
    </row>
    <row r="16">
      <c r="A16" s="4" t="n">
        <v>2024</v>
      </c>
      <c r="B16" s="4" t="inlineStr">
        <is>
          <t>决算</t>
        </is>
      </c>
      <c r="C16" s="5" t="n">
        <v>100335.72</v>
      </c>
      <c r="D16" s="5" t="n">
        <v>12138.14</v>
      </c>
      <c r="E16" s="5" t="n">
        <v>37519.93</v>
      </c>
      <c r="F16" s="5" t="n">
        <v>37503.37</v>
      </c>
      <c r="G16" s="5" t="n">
        <v>13174.28</v>
      </c>
      <c r="H16" s="6">
        <f>D16/C16</f>
        <v/>
      </c>
      <c r="I16" s="6">
        <f>E16/C16</f>
        <v/>
      </c>
      <c r="J16" s="6">
        <f>F16/C16</f>
        <v/>
      </c>
      <c r="K16" s="6">
        <f>G16/C16</f>
        <v/>
      </c>
      <c r="L16" s="6">
        <f>F16/(E16+F16)</f>
        <v/>
      </c>
      <c r="M16" s="7">
        <f>C16/10000</f>
        <v/>
      </c>
    </row>
    <row r="17">
      <c r="A17" s="8" t="n">
        <v>2025</v>
      </c>
      <c r="B17" s="8" t="inlineStr">
        <is>
          <t>预算</t>
        </is>
      </c>
      <c r="C17" s="9" t="n">
        <v>103415</v>
      </c>
      <c r="D17" s="9" t="n">
        <v>12627.09</v>
      </c>
      <c r="E17" s="9" t="n">
        <v>42881.04000000001</v>
      </c>
      <c r="F17" s="9" t="n">
        <v>38609.67</v>
      </c>
      <c r="G17" s="9" t="n">
        <v>9297.200000000001</v>
      </c>
      <c r="H17" s="10">
        <f>D17/C17</f>
        <v/>
      </c>
      <c r="I17" s="10">
        <f>E17/C17</f>
        <v/>
      </c>
      <c r="J17" s="10">
        <f>F17/C17</f>
        <v/>
      </c>
      <c r="K17" s="10">
        <f>G17/C17</f>
        <v/>
      </c>
      <c r="L17" s="10">
        <f>F17/(E17+F17)</f>
        <v/>
      </c>
      <c r="M17" s="11">
        <f>C17/10000</f>
        <v/>
      </c>
    </row>
    <row r="18">
      <c r="A18" s="8" t="n">
        <v>2026</v>
      </c>
      <c r="B18" s="8" t="inlineStr">
        <is>
          <t>预算</t>
        </is>
      </c>
      <c r="C18" s="9" t="n">
        <v>104150</v>
      </c>
      <c r="D18" s="9" t="n">
        <v>12333.06</v>
      </c>
      <c r="E18" s="9" t="n">
        <v>43458.42000000001</v>
      </c>
      <c r="F18" s="9" t="n">
        <v>38987.74</v>
      </c>
      <c r="G18" s="9" t="n">
        <v>9370.780000000001</v>
      </c>
      <c r="H18" s="10">
        <f>D18/C18</f>
        <v/>
      </c>
      <c r="I18" s="10">
        <f>E18/C18</f>
        <v/>
      </c>
      <c r="J18" s="10">
        <f>F18/C18</f>
        <v/>
      </c>
      <c r="K18" s="10">
        <f>G18/C18</f>
        <v/>
      </c>
      <c r="L18" s="10">
        <f>F18/(E18+F18)</f>
        <v/>
      </c>
      <c r="M18" s="11">
        <f>C18/10000</f>
        <v/>
      </c>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110" customWidth="1" min="2" max="2"/>
  </cols>
  <sheetData>
    <row r="1">
      <c r="A1" s="1" t="inlineStr">
        <is>
          <t>"财政自主权被压缩了吗？" — 数据反驳了直觉</t>
        </is>
      </c>
    </row>
    <row r="3" ht="50" customHeight="1">
      <c r="A3" s="12" t="inlineStr">
        <is>
          <t>总盘子</t>
        </is>
      </c>
      <c r="B3" s="13" t="inlineStr">
        <is>
          <t>2013→2024 决算从 4.8 万亿 → 10.0 万亿，13 年内中央对地方资金翻了一倍多。2026 预算 10.4 万亿，增速明显放缓。</t>
        </is>
      </c>
    </row>
    <row r="4" ht="50" customHeight="1">
      <c r="A4" s="12" t="inlineStr">
        <is>
          <t>2014 专项整合改革（断点 1）</t>
        </is>
      </c>
      <c r="B4" s="13" t="inlineStr">
        <is>
          <t>2018 专项决算 2.29 万亿 → 2019 专项决算 7562 亿元。但这不是真的"删掉"了 1.5 万亿专项——而是把里面的医保/养老/教育等项目重新分类到"共同财政事权"里（2019 起从一般性里独立列示）。专项占比"陡降"主要是会计科目重组。</t>
        </is>
      </c>
    </row>
    <row r="5" ht="50" customHeight="1">
      <c r="A5" s="12" t="inlineStr">
        <is>
          <t>2019 共同事权独立列示（断点 2）</t>
        </is>
      </c>
      <c r="B5" s="13" t="inlineStr">
        <is>
          <t>2019 一开始共同事权占一般性（不含税收返还）就达 57.4%，说明这部分支出长期存在，只是之前不可见。</t>
        </is>
      </c>
    </row>
    <row r="6" ht="50" customHeight="1">
      <c r="A6" s="12" t="inlineStr">
        <is>
          <t>反直觉发现 ①</t>
        </is>
      </c>
      <c r="B6" s="13" t="inlineStr">
        <is>
          <t>"地方真正可自由调度部分"占总转移支付比例：2019 年 31.8% → 2026 预算 41.7%，过去 7 年持续上升，绝非"被压缩"。</t>
        </is>
      </c>
    </row>
    <row r="7" ht="50" customHeight="1">
      <c r="A7" s="12" t="inlineStr">
        <is>
          <t>反直觉发现 ②</t>
        </is>
      </c>
      <c r="B7" s="13" t="inlineStr">
        <is>
          <t>共同事权占一般性（不含税收返还）比例：2019 年 57.4% → 2026 预算 47.3%，整体在缓慢下降——与"中央指定用途扩大"的直觉相反。</t>
        </is>
      </c>
    </row>
    <row r="8" ht="50" customHeight="1">
      <c r="A8" s="12" t="inlineStr">
        <is>
          <t>反直觉发现 ③</t>
        </is>
      </c>
      <c r="B8" s="13" t="inlineStr">
        <is>
          <t>"专项 + 三、临时补助" 占总转移支付的波动主要由 COVID（2020 抗疫 5992 亿）、减税降费（2022 减税降费补助 8533 亿）、灾后救助（2023、2024 各 5000 亿）驱动，是政策事件，不是结构性变化。</t>
        </is>
      </c>
    </row>
    <row r="9" ht="50" customHeight="1">
      <c r="A9" s="12" t="inlineStr">
        <is>
          <t>结论框架</t>
        </is>
      </c>
      <c r="B9" s="13" t="inlineStr">
        <is>
          <t>把直觉"逐年压缩"换成"换瓶不换酒"也不准确——数据显示，账面口径的反复重组确实让外人看不清，但从"地方真正可自由调度"的口径看，过去 7 年地方财政自主权事实上在缓慢扩大。</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6" customWidth="1" min="1" max="1"/>
    <col width="90" customWidth="1" min="2" max="2"/>
  </cols>
  <sheetData>
    <row r="1">
      <c r="A1" s="1" t="inlineStr">
        <is>
          <t>逐年数据来源（财政部预算司）</t>
        </is>
      </c>
    </row>
    <row r="3" ht="22" customHeight="1">
      <c r="A3" s="12" t="inlineStr">
        <is>
          <t>2013 决算</t>
        </is>
      </c>
      <c r="B3" s="14" t="inlineStr">
        <is>
          <t>http://yss.mof.gov.cn/2013qgczjs/201407/t20140711_1112026.htm</t>
        </is>
      </c>
    </row>
    <row r="4" ht="22" customHeight="1">
      <c r="A4" s="12" t="inlineStr">
        <is>
          <t>2014 决算</t>
        </is>
      </c>
      <c r="B4" s="14" t="inlineStr">
        <is>
          <t>http://yss.mof.gov.cn/2014czys/201507/t20150709_1269837.htm</t>
        </is>
      </c>
    </row>
    <row r="5" ht="22" customHeight="1">
      <c r="A5" s="12" t="inlineStr">
        <is>
          <t>2015 决算</t>
        </is>
      </c>
      <c r="B5" s="14" t="inlineStr">
        <is>
          <t>http://yss.mof.gov.cn/2015js/201607/t20160713_2354962.htm</t>
        </is>
      </c>
    </row>
    <row r="6" ht="22" customHeight="1">
      <c r="A6" s="12" t="inlineStr">
        <is>
          <t>2016 决算</t>
        </is>
      </c>
      <c r="B6" s="14" t="inlineStr">
        <is>
          <t>http://yss.mof.gov.cn/2016js/201707/t20170713_2648693.htm</t>
        </is>
      </c>
    </row>
    <row r="7" ht="22" customHeight="1">
      <c r="A7" s="12" t="inlineStr">
        <is>
          <t>2017 决算</t>
        </is>
      </c>
      <c r="B7" s="14" t="inlineStr">
        <is>
          <t>http://yss.mof.gov.cn/qgczjs/201807/t20180712_2959754.htm</t>
        </is>
      </c>
    </row>
    <row r="8" ht="22" customHeight="1">
      <c r="A8" s="12" t="inlineStr">
        <is>
          <t>2018 决算</t>
        </is>
      </c>
      <c r="B8" s="14" t="inlineStr">
        <is>
          <t>http://yss.mof.gov.cn/2018czjs/201907/t20190718_3303311.htm</t>
        </is>
      </c>
    </row>
    <row r="9" ht="22" customHeight="1">
      <c r="A9" s="12" t="inlineStr">
        <is>
          <t>2019 决算</t>
        </is>
      </c>
      <c r="B9" s="14" t="inlineStr">
        <is>
          <t>http://yss.mof.gov.cn/2019qgczjs/202007/t20200706_3544608.htm</t>
        </is>
      </c>
    </row>
    <row r="10" ht="22" customHeight="1">
      <c r="A10" s="12" t="inlineStr">
        <is>
          <t>2020 决算</t>
        </is>
      </c>
      <c r="B10" s="14" t="inlineStr">
        <is>
          <t>http://yss.mof.gov.cn/2020zyjs/202106/t20210629_3727224.htm</t>
        </is>
      </c>
    </row>
    <row r="11" ht="22" customHeight="1">
      <c r="A11" s="12" t="inlineStr">
        <is>
          <t>2021 决算</t>
        </is>
      </c>
      <c r="B11" s="14" t="inlineStr">
        <is>
          <t>http://yss.mof.gov.cn/2021zyjs/202207/t20220712_3826596.htm</t>
        </is>
      </c>
    </row>
    <row r="12" ht="22" customHeight="1">
      <c r="A12" s="12" t="inlineStr">
        <is>
          <t>2022 决算</t>
        </is>
      </c>
      <c r="B12" s="14" t="inlineStr">
        <is>
          <t>http://yss.mof.gov.cn/2022zyjs/202307/t20230714_3896491.htm</t>
        </is>
      </c>
    </row>
    <row r="13" ht="22" customHeight="1">
      <c r="A13" s="12" t="inlineStr">
        <is>
          <t>2023 决算</t>
        </is>
      </c>
      <c r="B13" s="14" t="inlineStr">
        <is>
          <t>http://yss.mof.gov.cn/2023zyjs/202407/t20240716_3939612.htm</t>
        </is>
      </c>
    </row>
    <row r="14" ht="22" customHeight="1">
      <c r="A14" s="12" t="inlineStr">
        <is>
          <t>2024 决算</t>
        </is>
      </c>
      <c r="B14" s="14" t="inlineStr">
        <is>
          <t>http://yss.mof.gov.cn/2024zyjs/202507/t20250715_3967896.htm</t>
        </is>
      </c>
    </row>
    <row r="15" ht="22" customHeight="1">
      <c r="A15" s="12" t="inlineStr">
        <is>
          <t>2025 预算</t>
        </is>
      </c>
      <c r="B15" s="14" t="inlineStr">
        <is>
          <t>http://yss.mof.gov.cn/2025zyczys/202503/t20250324_3960476.htm</t>
        </is>
      </c>
    </row>
    <row r="16" ht="22" customHeight="1">
      <c r="A16" s="12" t="inlineStr">
        <is>
          <t>2026 预算</t>
        </is>
      </c>
      <c r="B16" s="14" t="inlineStr">
        <is>
          <t>http://yss.mof.gov.cn/2026zyczys/202603/t20260324_3986014.htm</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2026-05-10T15:42:20Z</dcterms:created>
  <dcterms:modified xmlns:dcterms="http://purl.org/dc/terms/" xmlns:xsi="http://www.w3.org/2001/XMLSchema-instance" xsi:type="dcterms:W3CDTF">2026-05-10T19:18:33Z</dcterms:modified>
</cp:coreProperties>
</file>