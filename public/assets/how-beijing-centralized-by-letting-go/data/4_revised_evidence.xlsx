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metadata" sheetId="1" state="visible" r:id="rId1"/>
    <sheet xmlns:r="http://schemas.openxmlformats.org/officeDocument/2006/relationships" name="A_Property_Taxes" sheetId="2" state="visible" r:id="rId2"/>
    <sheet xmlns:r="http://schemas.openxmlformats.org/officeDocument/2006/relationships" name="B_Land_Sales" sheetId="3" state="visible" r:id="rId3"/>
    <sheet xmlns:r="http://schemas.openxmlformats.org/officeDocument/2006/relationships" name="C_Central_Local_Share" sheetId="4" state="visible" r:id="rId4"/>
    <sheet xmlns:r="http://schemas.openxmlformats.org/officeDocument/2006/relationships" name="D_Central_PassThrough" sheetId="5" state="visible" r:id="rId5"/>
    <sheet xmlns:r="http://schemas.openxmlformats.org/officeDocument/2006/relationships" name="E_Diaoru_TransferIn" sheetId="6" state="visible" r:id="rId6"/>
    <sheet xmlns:r="http://schemas.openxmlformats.org/officeDocument/2006/relationships" name="F_Source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DejaVu Sans"/>
      <family val="2"/>
      <i val="1"/>
      <color rgb="FF555555"/>
      <sz val="9"/>
    </font>
    <font>
      <name val="Arial"/>
      <charset val="1"/>
      <family val="0"/>
      <b val="1"/>
      <color rgb="FFFFFFFF"/>
      <sz val="10"/>
    </font>
    <font>
      <name val="DejaVu Sans"/>
      <family val="2"/>
      <b val="1"/>
      <color rgb="FFFFFFFF"/>
      <sz val="10"/>
    </font>
    <font>
      <name val="Arial"/>
      <charset val="1"/>
      <family val="0"/>
      <sz val="10"/>
    </font>
    <font>
      <name val="Arial"/>
      <charset val="1"/>
      <family val="0"/>
      <b val="1"/>
      <sz val="11"/>
    </font>
    <font>
      <name val="DejaVu Sans"/>
      <family val="2"/>
      <sz val="10"/>
    </font>
    <font>
      <name val="DejaVu Sans"/>
      <family val="2"/>
      <b val="1"/>
      <sz val="14"/>
    </font>
    <font>
      <name val="DejaVu Sans"/>
      <family val="2"/>
      <b val="1"/>
      <sz val="11"/>
    </font>
    <font>
      <name val="Arial"/>
      <b val="1"/>
      <sz val="14"/>
    </font>
    <font>
      <name val="Arial"/>
      <b val="1"/>
      <sz val="11"/>
    </font>
    <font>
      <name val="Arial"/>
      <sz val="10"/>
    </font>
  </fonts>
  <fills count="4">
    <fill>
      <patternFill/>
    </fill>
    <fill>
      <patternFill patternType="gray125"/>
    </fill>
    <fill>
      <patternFill patternType="solid">
        <fgColor rgb="FF305496"/>
        <bgColor rgb="FF555555"/>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0" borderId="1" applyAlignment="1" pivotButton="0" quotePrefix="0" xfId="0">
      <alignment horizontal="left" vertical="center"/>
    </xf>
    <xf numFmtId="4" fontId="9" fillId="0" borderId="1" applyAlignment="1" pivotButton="0" quotePrefix="0" xfId="0">
      <alignment horizontal="right" vertical="center"/>
    </xf>
    <xf numFmtId="10" fontId="9" fillId="0" borderId="1" applyAlignment="1" pivotButton="0" quotePrefix="0" xfId="0">
      <alignment horizontal="right" vertical="center"/>
    </xf>
    <xf numFmtId="0" fontId="9" fillId="3" borderId="1" applyAlignment="1" pivotButton="0" quotePrefix="0" xfId="0">
      <alignment horizontal="left" vertical="center"/>
    </xf>
    <xf numFmtId="4" fontId="9" fillId="3" borderId="1" applyAlignment="1" pivotButton="0" quotePrefix="0" xfId="0">
      <alignment horizontal="right" vertical="center"/>
    </xf>
    <xf numFmtId="10" fontId="9" fillId="3" borderId="1" applyAlignment="1" pivotButton="0" quotePrefix="0" xfId="0">
      <alignment horizontal="right" vertical="center"/>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2" fontId="9" fillId="0" borderId="1" applyAlignment="1" pivotButton="0" quotePrefix="0" xfId="0">
      <alignment horizontal="right" vertical="center"/>
    </xf>
    <xf numFmtId="164" fontId="9" fillId="0" borderId="1" applyAlignment="1" pivotButton="0" quotePrefix="0" xfId="0">
      <alignment horizontal="right" vertical="center"/>
    </xf>
    <xf numFmtId="164" fontId="9" fillId="3" borderId="1" applyAlignment="1" pivotButton="0" quotePrefix="0" xfId="0">
      <alignment horizontal="right" vertical="center"/>
    </xf>
    <xf numFmtId="0" fontId="9" fillId="3" borderId="1" applyAlignment="1" pivotButton="0" quotePrefix="0" xfId="0">
      <alignment horizontal="right" vertical="center"/>
    </xf>
    <xf numFmtId="0" fontId="9" fillId="0" borderId="1" applyAlignment="1" pivotButton="0" quotePrefix="0" xfId="0">
      <alignment horizontal="right" vertical="center"/>
    </xf>
    <xf numFmtId="0" fontId="11" fillId="0" borderId="1" applyAlignment="1" pivotButton="0" quotePrefix="0" xfId="0">
      <alignment horizontal="right" vertical="center"/>
    </xf>
    <xf numFmtId="0" fontId="9" fillId="0" borderId="0" applyAlignment="1" pivotButton="0" quotePrefix="0" xfId="0">
      <alignment horizontal="general" vertical="top" wrapText="1"/>
    </xf>
    <xf numFmtId="0" fontId="0" fillId="0" borderId="0" pivotButton="0" quotePrefix="0" xfId="0"/>
    <xf numFmtId="0" fontId="14" fillId="0" borderId="0" pivotButton="0" quotePrefix="0" xfId="0"/>
    <xf numFmtId="0" fontId="15" fillId="0" borderId="0" applyAlignment="1" pivotButton="0" quotePrefix="0" xfId="0">
      <alignment vertical="top"/>
    </xf>
    <xf numFmtId="0" fontId="16" fillId="0" borderId="0" applyAlignment="1" pivotButton="0" quotePrefix="0" xfId="0">
      <alignment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0" borderId="1" applyAlignment="1" pivotButton="0" quotePrefix="0" xfId="0">
      <alignment horizontal="left" vertical="center"/>
    </xf>
    <xf numFmtId="4" fontId="9" fillId="0" borderId="1" applyAlignment="1" pivotButton="0" quotePrefix="0" xfId="0">
      <alignment horizontal="right" vertical="center"/>
    </xf>
    <xf numFmtId="10" fontId="9" fillId="0" borderId="1" applyAlignment="1" pivotButton="0" quotePrefix="0" xfId="0">
      <alignment horizontal="right" vertical="center"/>
    </xf>
    <xf numFmtId="0" fontId="9" fillId="3" borderId="1" applyAlignment="1" pivotButton="0" quotePrefix="0" xfId="0">
      <alignment horizontal="left" vertical="center"/>
    </xf>
    <xf numFmtId="4" fontId="9" fillId="3" borderId="1" applyAlignment="1" pivotButton="0" quotePrefix="0" xfId="0">
      <alignment horizontal="right" vertical="center"/>
    </xf>
    <xf numFmtId="10" fontId="9" fillId="3" borderId="1" applyAlignment="1" pivotButton="0" quotePrefix="0" xfId="0">
      <alignment horizontal="right" vertical="center"/>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2" fontId="9" fillId="0" borderId="1" applyAlignment="1" pivotButton="0" quotePrefix="0" xfId="0">
      <alignment horizontal="right" vertical="center"/>
    </xf>
    <xf numFmtId="164" fontId="9" fillId="0" borderId="1" applyAlignment="1" pivotButton="0" quotePrefix="0" xfId="0">
      <alignment horizontal="right" vertical="center"/>
    </xf>
    <xf numFmtId="164" fontId="9" fillId="3" borderId="1" applyAlignment="1" pivotButton="0" quotePrefix="0" xfId="0">
      <alignment horizontal="right" vertical="center"/>
    </xf>
    <xf numFmtId="0" fontId="9" fillId="3" borderId="1" applyAlignment="1" pivotButton="0" quotePrefix="0" xfId="0">
      <alignment horizontal="right" vertical="center"/>
    </xf>
    <xf numFmtId="0" fontId="9" fillId="0" borderId="1" applyAlignment="1" pivotButton="0" quotePrefix="0" xfId="0">
      <alignment horizontal="right" vertical="center"/>
    </xf>
    <xf numFmtId="0" fontId="11" fillId="0" borderId="1" applyAlignment="1" pivotButton="0" quotePrefix="0" xfId="0">
      <alignment horizontal="right" vertical="center"/>
    </xf>
    <xf numFmtId="0" fontId="9"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style="20" min="1" max="1"/>
    <col width="110" customWidth="1" style="20" min="2" max="2"/>
  </cols>
  <sheetData>
    <row r="1" ht="28" customHeight="1" s="20">
      <c r="A1" s="21" t="inlineStr">
        <is>
          <t>Revised-body evidence: property channel, central-local share, and pass-through</t>
        </is>
      </c>
    </row>
    <row r="3" ht="60" customHeight="1" s="20">
      <c r="A3" s="22" t="inlineStr">
        <is>
          <t>Description</t>
        </is>
      </c>
      <c r="B3" s="23" t="inlineStr">
        <is>
          <t>Six sheets documenting the empirical findings underpinning the article's revised causal account: (A) property-related local taxes 2013-2024; (B) land sale revenue 2018-2024; (C) central-local revenue share and revenue/GDP decomposition; (D) central transfers as share of central revenue 2013-2024; (E) cross-budget transferred-in funds; (F) sources.</t>
        </is>
      </c>
    </row>
    <row r="4" ht="22" customHeight="1" s="20">
      <c r="A4" s="22" t="inlineStr">
        <is>
          <t>Publisher</t>
        </is>
      </c>
      <c r="B4" s="23" t="inlineStr">
        <is>
          <t>Linying Li</t>
        </is>
      </c>
    </row>
    <row r="5" ht="22" customHeight="1" s="20">
      <c r="A5" s="22" t="inlineStr">
        <is>
          <t>Author</t>
        </is>
      </c>
      <c r="B5" s="23" t="inlineStr">
        <is>
          <t>Linying Li</t>
        </is>
      </c>
    </row>
    <row r="6" ht="22" customHeight="1" s="20">
      <c r="A6" s="22" t="inlineStr">
        <is>
          <t>License</t>
        </is>
      </c>
      <c r="B6" s="23" t="inlineStr">
        <is>
          <t>CC BY 4.0 (Creative Commons Attribution 4.0 International)</t>
        </is>
      </c>
    </row>
    <row r="7" ht="22" customHeight="1" s="20">
      <c r="A7" s="22" t="inlineStr">
        <is>
          <t>License URL</t>
        </is>
      </c>
      <c r="B7" s="23" t="inlineStr">
        <is>
          <t>https://creativecommons.org/licenses/by/4.0/</t>
        </is>
      </c>
    </row>
    <row r="8" ht="60" customHeight="1" s="20">
      <c r="A8" s="22" t="inlineStr">
        <is>
          <t>Citation</t>
        </is>
      </c>
      <c r="B8" s="23" t="inlineStr">
        <is>
          <t>Linying Li, "How Beijing Centralized by Letting Go: Data and Code," https://linyingl.github.io/posts/how-beijing-centralized-by-letting-go/ (2026). CC BY 4.0.</t>
        </is>
      </c>
    </row>
    <row r="10" ht="60" customHeight="1" s="20">
      <c r="A10" s="22" t="inlineStr">
        <is>
          <t>Data source 1</t>
        </is>
      </c>
      <c r="B10" s="23" t="inlineStr">
        <is>
          <t>Local General Public Budget Revenue Final Account Tables, 2013-2024 (sheets A, E) — Ministry of Finance Budget Department</t>
        </is>
      </c>
    </row>
    <row r="11" ht="36" customHeight="1" s="20">
      <c r="A11" s="22" t="inlineStr">
        <is>
          <t>Data source 2</t>
        </is>
      </c>
      <c r="B11" s="23" t="inlineStr">
        <is>
          <t>Local Government-managed Funds Revenue Final Account Tables, 2018-2024 (sheet B) — Ministry of Finance Budget Department</t>
        </is>
      </c>
    </row>
    <row r="12" ht="60" customHeight="1" s="20">
      <c r="A12" s="22" t="inlineStr">
        <is>
          <t>Data source 3</t>
        </is>
      </c>
      <c r="B12" s="23" t="inlineStr">
        <is>
          <t>National + Central + Local General Public Budget Revenue Final Account Tables (sheets C, D) — Ministry of Finance Budget Department; China nominal GDP from National Bureau of Statistics</t>
        </is>
      </c>
    </row>
    <row r="13" ht="36" customHeight="1" s="20">
      <c r="A13" s="22" t="inlineStr">
        <is>
          <t>Source publisher</t>
        </is>
      </c>
      <c r="B13" s="23" t="inlineStr">
        <is>
          <t>Ministry of Finance Budget Department, People's Republic of China; National Bureau of Statistics of China</t>
        </is>
      </c>
    </row>
    <row r="14" ht="22" customHeight="1" s="20">
      <c r="A14" s="22" t="inlineStr">
        <is>
          <t>Source release date</t>
        </is>
      </c>
      <c r="B14" s="23" t="inlineStr">
        <is>
          <t>2014-07 through 2025-09 (final account releases)</t>
        </is>
      </c>
    </row>
    <row r="15" ht="22" customHeight="1" s="20">
      <c r="A15" s="22" t="inlineStr">
        <is>
          <t>Date accessed</t>
        </is>
      </c>
      <c r="B15" s="23" t="inlineStr">
        <is>
          <t>2026-05-10</t>
        </is>
      </c>
    </row>
    <row r="17" ht="36" customHeight="1" s="20">
      <c r="A17" s="22" t="inlineStr">
        <is>
          <t>Unit</t>
        </is>
      </c>
      <c r="B17" s="23" t="inlineStr">
        <is>
          <t>100 million RMB (亿元) unless noted; shares in percent; GDP in trillion RMB</t>
        </is>
      </c>
    </row>
    <row r="18" ht="60" customHeight="1" s="20">
      <c r="A18" s="22" t="inlineStr">
        <is>
          <t>Methodology</t>
        </is>
      </c>
      <c r="B18" s="23" t="inlineStr">
        <is>
          <t>Sheet A: the four 100%-local property and land taxes (deed, land VAT, property tax, urban land use) are extracted directly from line items in the Local General Public Budget Revenue Final Account Tables. Sheet B: land sale revenue from the Local Government-managed Funds Revenue table line "国有土地使用权出让金收入". Sheet C: central-local share computed from National vs Local revenue totals; GDP-share decomposition uses nominal GDP from NBS. Sheet D: central pass-through ratio = central-to-local transfer / central general public budget revenue. Years where this exceeds 100% are debt-financed.</t>
        </is>
      </c>
    </row>
    <row r="19" ht="60" customHeight="1" s="20">
      <c r="A19" s="22" t="inlineStr">
        <is>
          <t>Caliber notes</t>
        </is>
      </c>
      <c r="B19" s="23" t="inlineStr">
        <is>
          <t>Pre-2018 land sale revenue is not included because the breakout category in the source table was reorganized in 2017; comparable figures begin in 2018. The province-level central-listed cities (Dalian, Ningbo, etc.) are consolidated to their containing province in line with sheet A.</t>
        </is>
      </c>
    </row>
    <row r="20" ht="60" customHeight="1" s="20">
      <c r="A20" s="22" t="inlineStr">
        <is>
          <t>Missing value convention</t>
        </is>
      </c>
      <c r="B20" s="23" t="inlineStr">
        <is>
          <t>"—" or "N/A" indicates the figure is not separately reported in the source for that year (typically because the category did not exist or was bundled elsewhere). Blank cells indicate data not available in the published source.</t>
        </is>
      </c>
    </row>
    <row r="22" ht="22" customHeight="1" s="20">
      <c r="A22" s="22" t="inlineStr">
        <is>
          <t>Dataset version</t>
        </is>
      </c>
      <c r="B22" s="23" t="inlineStr">
        <is>
          <t>1.1.0</t>
        </is>
      </c>
    </row>
    <row r="23" ht="22" customHeight="1" s="20">
      <c r="A23" s="22" t="inlineStr">
        <is>
          <t>Last updated</t>
        </is>
      </c>
      <c r="B23" s="23" t="inlineStr">
        <is>
          <t>2026-05-10</t>
        </is>
      </c>
    </row>
    <row r="24" ht="36" customHeight="1" s="20">
      <c r="A24" s="22" t="inlineStr">
        <is>
          <t>Homepage</t>
        </is>
      </c>
      <c r="B24" s="23" t="inlineStr">
        <is>
          <t>https://linyingl.github.io/posts/how-beijing-centralized-by-letting-go/</t>
        </is>
      </c>
    </row>
  </sheetData>
  <mergeCells count="1">
    <mergeCell ref="A1:B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1"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24" min="1" max="1"/>
    <col width="14" customWidth="1" style="24" min="2" max="2"/>
    <col width="18" customWidth="1" style="24" min="3" max="3"/>
    <col width="14" customWidth="1" style="24" min="4" max="4"/>
    <col width="22" customWidth="1" style="24" min="5" max="5"/>
    <col width="16" customWidth="1" style="24" min="6" max="6"/>
    <col width="22" customWidth="1" style="24" min="7" max="7"/>
    <col width="18" customWidth="1" style="24" min="8" max="9"/>
  </cols>
  <sheetData>
    <row r="1" ht="17.35" customHeight="1" s="20">
      <c r="A1" s="25" t="inlineStr">
        <is>
          <t>Property-related local taxes, 2013–2024 (Test B)</t>
        </is>
      </c>
    </row>
    <row r="2" ht="11.9" customHeight="1" s="20">
      <c r="A2" s="26" t="inlineStr">
        <is>
          <t>Final-account figures, in 亿元 (100 million yuan). All four taxes are 100% local.</t>
        </is>
      </c>
    </row>
    <row r="4" ht="36" customHeight="1" s="20">
      <c r="A4" s="27" t="inlineStr">
        <is>
          <t>Year</t>
        </is>
      </c>
      <c r="B4" s="28" t="inlineStr">
        <is>
          <t>契税 / Deed</t>
        </is>
      </c>
      <c r="C4" s="28" t="inlineStr">
        <is>
          <t>土地增值税 / Land VAT</t>
        </is>
      </c>
      <c r="D4" s="28" t="inlineStr">
        <is>
          <t>房产税 / Property tax</t>
        </is>
      </c>
      <c r="E4" s="28" t="inlineStr">
        <is>
          <t>城镇土地使用税 / Urban land use</t>
        </is>
      </c>
      <c r="F4" s="27" t="inlineStr">
        <is>
          <t>Four-tax total</t>
        </is>
      </c>
      <c r="G4" s="28" t="inlineStr">
        <is>
          <t>地方本级收入 / Local own-source</t>
        </is>
      </c>
      <c r="H4" s="27" t="inlineStr">
        <is>
          <t>Four-tax share of own-source</t>
        </is>
      </c>
      <c r="I4" s="27" t="inlineStr">
        <is>
          <t>YoY change in four-tax share</t>
        </is>
      </c>
    </row>
    <row r="5" ht="15" customHeight="1" s="20">
      <c r="A5" s="29" t="n">
        <v>2013</v>
      </c>
      <c r="B5" s="30" t="n">
        <v>3844.02</v>
      </c>
      <c r="C5" s="30" t="n">
        <v>3293.91</v>
      </c>
      <c r="D5" s="30" t="n">
        <v>1581.5</v>
      </c>
      <c r="E5" s="30" t="n">
        <v>1718.77</v>
      </c>
      <c r="F5" s="30">
        <f>B5+C5+D5+E5</f>
        <v/>
      </c>
      <c r="G5" s="30" t="n">
        <v>69011.16</v>
      </c>
      <c r="H5" s="31">
        <f>F5/G5</f>
        <v/>
      </c>
      <c r="I5" s="31" t="n"/>
    </row>
    <row r="6" ht="15" customHeight="1" s="20">
      <c r="A6" s="29" t="n">
        <v>2014</v>
      </c>
      <c r="B6" s="30" t="n">
        <v>4000.7</v>
      </c>
      <c r="C6" s="30" t="n">
        <v>3914.68</v>
      </c>
      <c r="D6" s="30" t="n">
        <v>1851.64</v>
      </c>
      <c r="E6" s="30" t="n">
        <v>1992.62</v>
      </c>
      <c r="F6" s="30">
        <f>B6+C6+D6+E6</f>
        <v/>
      </c>
      <c r="G6" s="30" t="n">
        <v>75876.58</v>
      </c>
      <c r="H6" s="31">
        <f>F6/G6</f>
        <v/>
      </c>
      <c r="I6" s="31">
        <f>H6-H5</f>
        <v/>
      </c>
    </row>
    <row r="7" ht="15" customHeight="1" s="20">
      <c r="A7" s="29" t="n">
        <v>2015</v>
      </c>
      <c r="B7" s="30" t="n">
        <v>3898.55</v>
      </c>
      <c r="C7" s="30" t="n">
        <v>3832.18</v>
      </c>
      <c r="D7" s="30" t="n">
        <v>2050.9</v>
      </c>
      <c r="E7" s="30" t="n">
        <v>2142.04</v>
      </c>
      <c r="F7" s="30">
        <f>B7+C7+D7+E7</f>
        <v/>
      </c>
      <c r="G7" s="30" t="n">
        <v>83002.03999999999</v>
      </c>
      <c r="H7" s="31">
        <f>F7/G7</f>
        <v/>
      </c>
      <c r="I7" s="31">
        <f>H7-H6</f>
        <v/>
      </c>
    </row>
    <row r="8" ht="15" customHeight="1" s="20">
      <c r="A8" s="29" t="n">
        <v>2016</v>
      </c>
      <c r="B8" s="30" t="n">
        <v>4300</v>
      </c>
      <c r="C8" s="30" t="n">
        <v>4212.19</v>
      </c>
      <c r="D8" s="30" t="n">
        <v>2220.91</v>
      </c>
      <c r="E8" s="30" t="n">
        <v>2255.74</v>
      </c>
      <c r="F8" s="30">
        <f>B8+C8+D8+E8</f>
        <v/>
      </c>
      <c r="G8" s="30" t="n">
        <v>87239.35000000001</v>
      </c>
      <c r="H8" s="31">
        <f>F8/G8</f>
        <v/>
      </c>
      <c r="I8" s="31">
        <f>H8-H7</f>
        <v/>
      </c>
    </row>
    <row r="9" ht="15" customHeight="1" s="20">
      <c r="A9" s="29" t="n">
        <v>2017</v>
      </c>
      <c r="B9" s="30" t="n">
        <v>4910.42</v>
      </c>
      <c r="C9" s="30" t="n">
        <v>4911.28</v>
      </c>
      <c r="D9" s="30" t="n">
        <v>2604.33</v>
      </c>
      <c r="E9" s="30" t="n">
        <v>2360.55</v>
      </c>
      <c r="F9" s="30">
        <f>B9+C9+D9+E9</f>
        <v/>
      </c>
      <c r="G9" s="30" t="n">
        <v>91469.41</v>
      </c>
      <c r="H9" s="31">
        <f>F9/G9</f>
        <v/>
      </c>
      <c r="I9" s="31">
        <f>H9-H8</f>
        <v/>
      </c>
    </row>
    <row r="10" ht="15" customHeight="1" s="20">
      <c r="A10" s="29" t="n">
        <v>2018</v>
      </c>
      <c r="B10" s="30" t="n">
        <v>5729.94</v>
      </c>
      <c r="C10" s="30" t="n">
        <v>5641.38</v>
      </c>
      <c r="D10" s="30" t="n">
        <v>2888.56</v>
      </c>
      <c r="E10" s="30" t="n">
        <v>2387.6</v>
      </c>
      <c r="F10" s="30">
        <f>B10+C10+D10+E10</f>
        <v/>
      </c>
      <c r="G10" s="30" t="n">
        <v>97903.38</v>
      </c>
      <c r="H10" s="31">
        <f>F10/G10</f>
        <v/>
      </c>
      <c r="I10" s="31">
        <f>H10-H9</f>
        <v/>
      </c>
    </row>
    <row r="11" ht="15" customHeight="1" s="20">
      <c r="A11" s="29" t="n">
        <v>2019</v>
      </c>
      <c r="B11" s="30" t="n">
        <v>6212.86</v>
      </c>
      <c r="C11" s="30" t="n">
        <v>6465.14</v>
      </c>
      <c r="D11" s="30" t="n">
        <v>2988.43</v>
      </c>
      <c r="E11" s="30" t="n">
        <v>2195.41</v>
      </c>
      <c r="F11" s="30">
        <f>B11+C11+D11+E11</f>
        <v/>
      </c>
      <c r="G11" s="30" t="n">
        <v>101080.61</v>
      </c>
      <c r="H11" s="31">
        <f>F11/G11</f>
        <v/>
      </c>
      <c r="I11" s="31">
        <f>H11-H10</f>
        <v/>
      </c>
    </row>
    <row r="12" ht="15" customHeight="1" s="20">
      <c r="A12" s="29" t="n">
        <v>2020</v>
      </c>
      <c r="B12" s="30" t="n">
        <v>7061.02</v>
      </c>
      <c r="C12" s="30" t="n">
        <v>6468.51</v>
      </c>
      <c r="D12" s="30" t="n">
        <v>2841.76</v>
      </c>
      <c r="E12" s="30" t="n">
        <v>2058.22</v>
      </c>
      <c r="F12" s="30">
        <f>B12+C12+D12+E12</f>
        <v/>
      </c>
      <c r="G12" s="30" t="n">
        <v>100143.16</v>
      </c>
      <c r="H12" s="31">
        <f>F12/G12</f>
        <v/>
      </c>
      <c r="I12" s="31">
        <f>H12-H11</f>
        <v/>
      </c>
    </row>
    <row r="13" ht="15" customHeight="1" s="20">
      <c r="A13" s="32" t="n">
        <v>2021</v>
      </c>
      <c r="B13" s="33" t="n">
        <v>7427.49</v>
      </c>
      <c r="C13" s="33" t="n">
        <v>6896.02</v>
      </c>
      <c r="D13" s="33" t="n">
        <v>3277.64</v>
      </c>
      <c r="E13" s="33" t="n">
        <v>2126.28</v>
      </c>
      <c r="F13" s="33">
        <f>B13+C13+D13+E13</f>
        <v/>
      </c>
      <c r="G13" s="33" t="n">
        <v>111084.23</v>
      </c>
      <c r="H13" s="34">
        <f>F13/G13</f>
        <v/>
      </c>
      <c r="I13" s="34">
        <f>H13-H12</f>
        <v/>
      </c>
    </row>
    <row r="14" ht="15" customHeight="1" s="20">
      <c r="A14" s="29" t="n">
        <v>2022</v>
      </c>
      <c r="B14" s="30" t="n">
        <v>5793.8</v>
      </c>
      <c r="C14" s="30" t="n">
        <v>6349.11</v>
      </c>
      <c r="D14" s="30" t="n">
        <v>3590.35</v>
      </c>
      <c r="E14" s="30" t="n">
        <v>2225.62</v>
      </c>
      <c r="F14" s="30">
        <f>B14+C14+D14+E14</f>
        <v/>
      </c>
      <c r="G14" s="30" t="n">
        <v>108762.15</v>
      </c>
      <c r="H14" s="31">
        <f>F14/G14</f>
        <v/>
      </c>
      <c r="I14" s="31">
        <f>H14-H13</f>
        <v/>
      </c>
    </row>
    <row r="15" ht="15" customHeight="1" s="20">
      <c r="A15" s="29" t="n">
        <v>2023</v>
      </c>
      <c r="B15" s="30" t="n">
        <v>5910.43</v>
      </c>
      <c r="C15" s="30" t="n">
        <v>5294</v>
      </c>
      <c r="D15" s="30" t="n">
        <v>3994.19</v>
      </c>
      <c r="E15" s="30" t="n">
        <v>2212.71</v>
      </c>
      <c r="F15" s="30">
        <f>B15+C15+D15+E15</f>
        <v/>
      </c>
      <c r="G15" s="30" t="n">
        <v>117228.73</v>
      </c>
      <c r="H15" s="31">
        <f>F15/G15</f>
        <v/>
      </c>
      <c r="I15" s="31">
        <f>H15-H14</f>
        <v/>
      </c>
    </row>
    <row r="16" ht="15" customHeight="1" s="20">
      <c r="A16" s="32" t="n">
        <v>2024</v>
      </c>
      <c r="B16" s="33" t="n">
        <v>5169.59</v>
      </c>
      <c r="C16" s="33" t="n">
        <v>4868.7</v>
      </c>
      <c r="D16" s="33" t="n">
        <v>4705.27</v>
      </c>
      <c r="E16" s="33" t="n">
        <v>2424.82</v>
      </c>
      <c r="F16" s="33">
        <f>B16+C16+D16+E16</f>
        <v/>
      </c>
      <c r="G16" s="33" t="n">
        <v>119272.24</v>
      </c>
      <c r="H16" s="34">
        <f>F16/G16</f>
        <v/>
      </c>
      <c r="I16" s="34">
        <f>H16-H15</f>
        <v/>
      </c>
    </row>
    <row r="18" ht="15" customHeight="1" s="20">
      <c r="A18" s="35" t="inlineStr">
        <is>
          <t>Key findings:</t>
        </is>
      </c>
    </row>
    <row r="19" ht="12.65" customHeight="1" s="20">
      <c r="A19" s="36" t="inlineStr">
        <is>
          <t>• Peak in 2021: 1.97 trillion yuan (197 268 亿), 17.8% of provincial own-source revenue.</t>
        </is>
      </c>
    </row>
    <row r="20" ht="15" customHeight="1" s="20">
      <c r="A20" s="36" t="inlineStr">
        <is>
          <t>• By 2024: 1.72 trillion yuan, 14.4% — a 13% drop in absolute terms, 3.4-pp drop in share.</t>
        </is>
      </c>
    </row>
    <row r="21" ht="15" customHeight="1" s="20">
      <c r="A21" s="36" t="inlineStr">
        <is>
          <t>• If property taxes had grown at the same ~5% rate as other taxes 2021–2024, they would have reached ~2.08 trillion. The shortfall (~360 billion yuan) corresponds to roughly 3 percentage points of the 2024 self-sufficiency rate.</t>
        </is>
      </c>
    </row>
    <row r="22" ht="15" customHeight="1" s="20">
      <c r="A22" s="36" t="inlineStr">
        <is>
          <t>• But the long-run decline in self-sufficiency cannot be blamed on property: from 2013 to 2020, the four-tax share actually rose from 15.1% to 18.4%.</t>
        </is>
      </c>
    </row>
  </sheetData>
  <mergeCells count="6">
    <mergeCell ref="A2:I2"/>
    <mergeCell ref="A19:I19"/>
    <mergeCell ref="A1:I1"/>
    <mergeCell ref="A22:I22"/>
    <mergeCell ref="A20:I20"/>
    <mergeCell ref="A21:I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7" customWidth="1" style="24" min="1" max="1"/>
    <col width="22" customWidth="1" style="24" min="2" max="2"/>
    <col width="16" customWidth="1" style="24" min="3" max="3"/>
    <col width="12" customWidth="1" style="24" min="4" max="4"/>
    <col width="26" customWidth="1" style="24" min="5" max="5"/>
  </cols>
  <sheetData>
    <row r="1" ht="17.9" customHeight="1" s="20">
      <c r="A1" s="25" t="inlineStr">
        <is>
          <t>Land sale revenue, 2018–2024 (国有土地使用权出让金收入)</t>
        </is>
      </c>
    </row>
    <row r="2" ht="11.9" customHeight="1" s="20">
      <c r="A2" s="26" t="inlineStr">
        <is>
          <t>Final-account figures from Local Government-managed Funds Revenue tables, in 亿元.</t>
        </is>
      </c>
    </row>
    <row r="4" ht="36" customHeight="1" s="20">
      <c r="A4" s="27" t="inlineStr">
        <is>
          <t>Year</t>
        </is>
      </c>
      <c r="B4" s="27" t="inlineStr">
        <is>
          <t>Land sale revenue (亿元)</t>
        </is>
      </c>
      <c r="C4" s="27" t="inlineStr">
        <is>
          <t>In trillion yuan</t>
        </is>
      </c>
      <c r="D4" s="27" t="inlineStr">
        <is>
          <t>YoY %</t>
        </is>
      </c>
      <c r="E4" s="27" t="inlineStr">
        <is>
          <t>Cumulative change vs 2021 peak</t>
        </is>
      </c>
    </row>
    <row r="5" ht="15" customHeight="1" s="20">
      <c r="A5" s="29" t="n">
        <v>2018</v>
      </c>
      <c r="B5" s="30" t="n">
        <v>62875.11</v>
      </c>
      <c r="C5" s="37">
        <f>B5/10000</f>
        <v/>
      </c>
      <c r="D5" s="38" t="n"/>
      <c r="E5" s="38">
        <f>B5/84897.67-1</f>
        <v/>
      </c>
    </row>
    <row r="6" ht="15" customHeight="1" s="20">
      <c r="A6" s="29" t="n">
        <v>2019</v>
      </c>
      <c r="B6" s="30" t="n">
        <v>70631.06</v>
      </c>
      <c r="C6" s="37">
        <f>B6/10000</f>
        <v/>
      </c>
      <c r="D6" s="38">
        <f>B6/B5-1</f>
        <v/>
      </c>
      <c r="E6" s="38">
        <f>B6/84897.67-1</f>
        <v/>
      </c>
    </row>
    <row r="7" ht="15" customHeight="1" s="20">
      <c r="A7" s="29" t="n">
        <v>2020</v>
      </c>
      <c r="B7" s="30" t="n">
        <v>82098.02</v>
      </c>
      <c r="C7" s="37">
        <f>B7/10000</f>
        <v/>
      </c>
      <c r="D7" s="38">
        <f>B7/B6-1</f>
        <v/>
      </c>
      <c r="E7" s="38">
        <f>B7/84897.67-1</f>
        <v/>
      </c>
    </row>
    <row r="8" ht="15" customHeight="1" s="20">
      <c r="A8" s="29" t="n">
        <v>2021</v>
      </c>
      <c r="B8" s="30" t="n">
        <v>84897.67</v>
      </c>
      <c r="C8" s="37">
        <f>B8/10000</f>
        <v/>
      </c>
      <c r="D8" s="38">
        <f>B8/B7-1</f>
        <v/>
      </c>
      <c r="E8" s="38">
        <f>B8/84897.67-1</f>
        <v/>
      </c>
    </row>
    <row r="9" ht="15" customHeight="1" s="20">
      <c r="A9" s="29" t="n">
        <v>2022</v>
      </c>
      <c r="B9" s="30" t="n">
        <v>65326</v>
      </c>
      <c r="C9" s="37">
        <f>B9/10000</f>
        <v/>
      </c>
      <c r="D9" s="38">
        <f>B9/B8-1</f>
        <v/>
      </c>
      <c r="E9" s="38">
        <f>B9/84897.67-1</f>
        <v/>
      </c>
    </row>
    <row r="10" ht="15" customHeight="1" s="20">
      <c r="A10" s="29" t="n">
        <v>2023</v>
      </c>
      <c r="B10" s="30" t="n">
        <v>56633.68</v>
      </c>
      <c r="C10" s="37">
        <f>B10/10000</f>
        <v/>
      </c>
      <c r="D10" s="38">
        <f>B10/B9-1</f>
        <v/>
      </c>
      <c r="E10" s="38">
        <f>B10/84897.67-1</f>
        <v/>
      </c>
    </row>
    <row r="11" ht="15" customHeight="1" s="20">
      <c r="A11" s="29" t="n">
        <v>2024</v>
      </c>
      <c r="B11" s="30" t="n">
        <v>47741.7</v>
      </c>
      <c r="C11" s="37">
        <f>B11/10000</f>
        <v/>
      </c>
      <c r="D11" s="38">
        <f>B11/B10-1</f>
        <v/>
      </c>
      <c r="E11" s="38">
        <f>B11/84897.67-1</f>
        <v/>
      </c>
    </row>
    <row r="13" ht="15" customHeight="1" s="20">
      <c r="A13" s="35" t="inlineStr">
        <is>
          <t>Key findings:</t>
        </is>
      </c>
    </row>
    <row r="14" ht="15" customHeight="1" s="20">
      <c r="A14" s="36" t="inlineStr">
        <is>
          <t>• 2021 peak: 8.49 trillion yuan; 2024 floor: 4.77 trillion. Decline 44% over three years.</t>
        </is>
      </c>
    </row>
    <row r="15" ht="12.65" customHeight="1" s="20">
      <c r="A15" s="36" t="inlineStr">
        <is>
          <t>• Land sales sit in the government-managed funds budget, not the general public budget — but they fed the latter via the 'transferred-in funds' (调入资金) line. See Sheet E.</t>
        </is>
      </c>
    </row>
  </sheetData>
  <mergeCells count="4">
    <mergeCell ref="A2:E2"/>
    <mergeCell ref="A15:E15"/>
    <mergeCell ref="A1:E1"/>
    <mergeCell ref="A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7" customWidth="1" style="24" min="1" max="1"/>
    <col width="18" customWidth="1" style="24" min="2" max="2"/>
    <col width="22" customWidth="1" style="24" min="3" max="3"/>
    <col width="20" customWidth="1" style="24" min="4" max="7"/>
  </cols>
  <sheetData>
    <row r="1" ht="17.35" customHeight="1" s="20">
      <c r="A1" s="25" t="inlineStr">
        <is>
          <t>Central-local revenue share + revenue/GDP decomposition (2013 vs 2024)</t>
        </is>
      </c>
    </row>
    <row r="2" ht="15" customHeight="1" s="20">
      <c r="A2" s="26" t="inlineStr">
        <is>
          <t>Refutes the simplest 'centralization' story: the central-local split is essentially unchanged.</t>
        </is>
      </c>
    </row>
    <row r="4" ht="36" customHeight="1" s="20">
      <c r="A4" s="27" t="inlineStr">
        <is>
          <t>Year</t>
        </is>
      </c>
      <c r="B4" s="27" t="inlineStr">
        <is>
          <t>Nominal GDP (万亿)</t>
        </is>
      </c>
      <c r="C4" s="27" t="inlineStr">
        <is>
          <t>National revenue (亿)</t>
        </is>
      </c>
      <c r="D4" s="27" t="inlineStr">
        <is>
          <t>Central revenue (亿)</t>
        </is>
      </c>
      <c r="E4" s="27" t="inlineStr">
        <is>
          <t>Local revenue (亿)</t>
        </is>
      </c>
      <c r="F4" s="27" t="inlineStr">
        <is>
          <t>Central share of national</t>
        </is>
      </c>
      <c r="G4" s="27" t="inlineStr">
        <is>
          <t>Local share of national</t>
        </is>
      </c>
    </row>
    <row r="5" ht="15" customHeight="1" s="20">
      <c r="A5" s="29" t="n">
        <v>2013</v>
      </c>
      <c r="B5" s="30" t="n">
        <v>59.3</v>
      </c>
      <c r="C5" s="30" t="n">
        <v>129143</v>
      </c>
      <c r="D5" s="30" t="n">
        <v>60198</v>
      </c>
      <c r="E5" s="30" t="n">
        <v>69011.16</v>
      </c>
      <c r="F5" s="38">
        <f>D5/C5</f>
        <v/>
      </c>
      <c r="G5" s="38">
        <f>E5/C5</f>
        <v/>
      </c>
    </row>
    <row r="6" ht="15" customHeight="1" s="20">
      <c r="A6" s="29" t="n">
        <v>2024</v>
      </c>
      <c r="B6" s="30" t="n">
        <v>134.91</v>
      </c>
      <c r="C6" s="30" t="n">
        <v>219700</v>
      </c>
      <c r="D6" s="30" t="n">
        <v>100442</v>
      </c>
      <c r="E6" s="30" t="n">
        <v>119272.24</v>
      </c>
      <c r="F6" s="38">
        <f>D6/C6</f>
        <v/>
      </c>
      <c r="G6" s="38">
        <f>E6/C6</f>
        <v/>
      </c>
    </row>
    <row r="9" ht="15" customHeight="1" s="20">
      <c r="A9" s="35" t="inlineStr">
        <is>
          <t>Revenue / GDP decomposition (%):</t>
        </is>
      </c>
    </row>
    <row r="10" ht="31.5" customHeight="1" s="20">
      <c r="A10" s="27" t="inlineStr">
        <is>
          <t>Year</t>
        </is>
      </c>
      <c r="B10" s="27" t="inlineStr">
        <is>
          <t>National rev / GDP</t>
        </is>
      </c>
      <c r="C10" s="27" t="inlineStr">
        <is>
          <t>Central rev / GDP</t>
        </is>
      </c>
      <c r="D10" s="27" t="inlineStr">
        <is>
          <t>Local rev / GDP</t>
        </is>
      </c>
    </row>
    <row r="11" ht="15" customHeight="1" s="20">
      <c r="A11" s="29" t="n">
        <v>2013</v>
      </c>
      <c r="B11" s="31">
        <f>C5/(B5*10000)</f>
        <v/>
      </c>
      <c r="C11" s="31">
        <f>D5/(B5*10000)</f>
        <v/>
      </c>
      <c r="D11" s="31">
        <f>E5/(B5*10000)</f>
        <v/>
      </c>
    </row>
    <row r="12" ht="15" customHeight="1" s="20">
      <c r="A12" s="29" t="n">
        <v>2024</v>
      </c>
      <c r="B12" s="31">
        <f>C6/(B6*10000)</f>
        <v/>
      </c>
      <c r="C12" s="31">
        <f>D6/(B6*10000)</f>
        <v/>
      </c>
      <c r="D12" s="31">
        <f>E6/(B6*10000)</f>
        <v/>
      </c>
    </row>
    <row r="15" ht="15" customHeight="1" s="20">
      <c r="A15" s="35" t="inlineStr">
        <is>
          <t>Key findings:</t>
        </is>
      </c>
    </row>
    <row r="16" ht="15" customHeight="1" s="20">
      <c r="A16" s="36" t="inlineStr">
        <is>
          <t>• Local share of national revenue: 53.4% (2013) → 53.8% (2024). Essentially unchanged.</t>
        </is>
      </c>
    </row>
    <row r="17" ht="15" customHeight="1" s="20">
      <c r="A17" s="36" t="inlineStr">
        <is>
          <t>• Central share of national revenue: 46.6% → 46.2%. Also essentially unchanged.</t>
        </is>
      </c>
    </row>
    <row r="18" ht="15" customHeight="1" s="20">
      <c r="A18" s="36" t="inlineStr">
        <is>
          <t>• What changed is the size of the pie. National revenue fell from 21.8% of GDP (2013) to 16.1% (2024) — a 5.7-pp drop.</t>
        </is>
      </c>
    </row>
    <row r="19" ht="15" customHeight="1" s="20">
      <c r="A19" s="36" t="inlineStr">
        <is>
          <t>• The drop is split almost evenly: central revenue/GDP fell 2.5 pp; local revenue/GDP fell 2.9 pp.</t>
        </is>
      </c>
    </row>
    <row r="20" ht="15" customHeight="1" s="20">
      <c r="A20" s="36" t="inlineStr">
        <is>
          <t>• This rules out the 'Beijing took provincial revenue' story. Both halves shrank in roughly equal proportion against GDP.</t>
        </is>
      </c>
    </row>
  </sheetData>
  <mergeCells count="7">
    <mergeCell ref="A1:G1"/>
    <mergeCell ref="A17:G17"/>
    <mergeCell ref="A18:G18"/>
    <mergeCell ref="A20:G20"/>
    <mergeCell ref="A16:G16"/>
    <mergeCell ref="A2:G2"/>
    <mergeCell ref="A19:G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7" customWidth="1" style="24" min="1" max="1"/>
    <col width="22" customWidth="1" style="24" min="2" max="2"/>
    <col width="32" customWidth="1" style="24" min="3" max="3"/>
    <col width="22" customWidth="1" style="24" min="4" max="4"/>
    <col width="60" customWidth="1" style="24" min="5" max="5"/>
  </cols>
  <sheetData>
    <row r="1" ht="17.35" customHeight="1" s="20">
      <c r="A1" s="25" t="inlineStr">
        <is>
          <t>Central transfers as share of central general public budget revenue, 2013–2024</t>
        </is>
      </c>
    </row>
    <row r="2" ht="15" customHeight="1" s="20">
      <c r="A2" s="26" t="inlineStr">
        <is>
          <t>Beijing has become a near pass-through: 80% (2013) → 98% (2024) of its general budget revenue gets routed to provinces.</t>
        </is>
      </c>
    </row>
    <row r="4" ht="36" customHeight="1" s="20">
      <c r="A4" s="27" t="inlineStr">
        <is>
          <t>Year</t>
        </is>
      </c>
      <c r="B4" s="27" t="inlineStr">
        <is>
          <t>Central revenue (亿)</t>
        </is>
      </c>
      <c r="C4" s="27" t="inlineStr">
        <is>
          <t>Central-to-local transfer (亿, incl. tax rebate)</t>
        </is>
      </c>
      <c r="D4" s="27" t="inlineStr">
        <is>
          <t>Transfer / central revenue</t>
        </is>
      </c>
      <c r="E4" s="27" t="inlineStr">
        <is>
          <t>Note</t>
        </is>
      </c>
    </row>
    <row r="5" ht="15" customHeight="1" s="20">
      <c r="A5" s="32" t="n">
        <v>2013</v>
      </c>
      <c r="B5" s="33" t="n">
        <v>60198</v>
      </c>
      <c r="C5" s="33" t="n">
        <v>48019.92</v>
      </c>
      <c r="D5" s="39">
        <f>C5/B5</f>
        <v/>
      </c>
      <c r="E5" s="40" t="n"/>
    </row>
    <row r="6" ht="15" customHeight="1" s="20">
      <c r="A6" s="29" t="n">
        <v>2014</v>
      </c>
      <c r="B6" s="30" t="n">
        <v>64493</v>
      </c>
      <c r="C6" s="30" t="n">
        <v>51591.04</v>
      </c>
      <c r="D6" s="38">
        <f>C6/B6</f>
        <v/>
      </c>
      <c r="E6" s="41" t="n"/>
    </row>
    <row r="7" ht="15" customHeight="1" s="20">
      <c r="A7" s="29" t="n">
        <v>2015</v>
      </c>
      <c r="B7" s="30" t="n">
        <v>69234</v>
      </c>
      <c r="C7" s="30" t="n">
        <v>55097.51</v>
      </c>
      <c r="D7" s="38">
        <f>C7/B7</f>
        <v/>
      </c>
      <c r="E7" s="41" t="n"/>
    </row>
    <row r="8" ht="15" customHeight="1" s="20">
      <c r="A8" s="29" t="n">
        <v>2016</v>
      </c>
      <c r="B8" s="30" t="n">
        <v>72366</v>
      </c>
      <c r="C8" s="30" t="n">
        <v>59400.7</v>
      </c>
      <c r="D8" s="38">
        <f>C8/B8</f>
        <v/>
      </c>
      <c r="E8" s="41" t="n"/>
    </row>
    <row r="9" ht="15" customHeight="1" s="20">
      <c r="A9" s="29" t="n">
        <v>2017</v>
      </c>
      <c r="B9" s="30" t="n">
        <v>81119</v>
      </c>
      <c r="C9" s="30" t="n">
        <v>65051.78</v>
      </c>
      <c r="D9" s="38">
        <f>C9/B9</f>
        <v/>
      </c>
      <c r="E9" s="41" t="n"/>
    </row>
    <row r="10" ht="15" customHeight="1" s="20">
      <c r="A10" s="29" t="n">
        <v>2018</v>
      </c>
      <c r="B10" s="30" t="n">
        <v>85447</v>
      </c>
      <c r="C10" s="30" t="n">
        <v>69680.66</v>
      </c>
      <c r="D10" s="38">
        <f>C10/B10</f>
        <v/>
      </c>
      <c r="E10" s="41" t="n"/>
    </row>
    <row r="11" ht="15" customHeight="1" s="20">
      <c r="A11" s="29" t="n">
        <v>2019</v>
      </c>
      <c r="B11" s="30" t="n">
        <v>89309</v>
      </c>
      <c r="C11" s="30" t="n">
        <v>74359.86</v>
      </c>
      <c r="D11" s="38">
        <f>C11/B11</f>
        <v/>
      </c>
      <c r="E11" s="41" t="n"/>
    </row>
    <row r="12" ht="15" customHeight="1" s="20">
      <c r="A12" s="29" t="n">
        <v>2020</v>
      </c>
      <c r="B12" s="30" t="n">
        <v>82771</v>
      </c>
      <c r="C12" s="30" t="n">
        <v>83217.92999999999</v>
      </c>
      <c r="D12" s="38">
        <f>C12/B12</f>
        <v/>
      </c>
      <c r="E12" s="41" t="inlineStr">
        <is>
          <t>central revenue fell sharply (COVID); transfer ratio crossed 100% briefly</t>
        </is>
      </c>
    </row>
    <row r="13" ht="15" customHeight="1" s="20">
      <c r="A13" s="29" t="n">
        <v>2021</v>
      </c>
      <c r="B13" s="30" t="n">
        <v>91470</v>
      </c>
      <c r="C13" s="30" t="n">
        <v>82152.34</v>
      </c>
      <c r="D13" s="38">
        <f>C13/B13</f>
        <v/>
      </c>
      <c r="E13" s="41" t="n"/>
    </row>
    <row r="14" ht="15" customHeight="1" s="20">
      <c r="A14" s="29" t="n">
        <v>2022</v>
      </c>
      <c r="B14" s="30" t="n">
        <v>94885</v>
      </c>
      <c r="C14" s="30" t="n">
        <v>96941.82000000001</v>
      </c>
      <c r="D14" s="38">
        <f>C14/B14</f>
        <v/>
      </c>
      <c r="E14" s="42" t="inlineStr">
        <is>
          <t>留抵退税 + COVID transfer surge; ratio &gt; 100%</t>
        </is>
      </c>
    </row>
    <row r="15" ht="15" customHeight="1" s="20">
      <c r="A15" s="29" t="n">
        <v>2023</v>
      </c>
      <c r="B15" s="30" t="n">
        <v>99566</v>
      </c>
      <c r="C15" s="30" t="n">
        <v>102836.32</v>
      </c>
      <c r="D15" s="38">
        <f>C15/B15</f>
        <v/>
      </c>
      <c r="E15" s="41" t="n"/>
    </row>
    <row r="16" ht="15" customHeight="1" s="20">
      <c r="A16" s="32" t="n">
        <v>2024</v>
      </c>
      <c r="B16" s="33" t="n">
        <v>100442</v>
      </c>
      <c r="C16" s="33" t="n">
        <v>100335.72</v>
      </c>
      <c r="D16" s="39">
        <f>C16/B16</f>
        <v/>
      </c>
      <c r="E16" s="40" t="inlineStr">
        <is>
          <t>ratio reaches 98%; the gap is filled by central-government debt issuance</t>
        </is>
      </c>
    </row>
    <row r="18" ht="15" customHeight="1" s="20">
      <c r="A18" s="35" t="inlineStr">
        <is>
          <t>Key findings:</t>
        </is>
      </c>
    </row>
    <row r="19" ht="15" customHeight="1" s="20">
      <c r="A19" s="36" t="inlineStr">
        <is>
          <t>• In 2013, Beijing transferred 80% of its general public budget revenue to provinces. By 2024, 98%.</t>
        </is>
      </c>
    </row>
    <row r="20" ht="15" customHeight="1" s="20">
      <c r="A20" s="36" t="inlineStr">
        <is>
          <t>• From 2020 onward, in some years (2020, 2022, 2023) the transfer total exceeded central revenue — financed by central-government debt.</t>
        </is>
      </c>
    </row>
    <row r="21" ht="15" customHeight="1" s="20">
      <c r="A21" s="36" t="inlineStr">
        <is>
          <t>• Beijing has become, in effect, a pass-through entity. The dependency runs both ways: provinces depend on central transfers, and the center depends on its capacity to keep redistributing.</t>
        </is>
      </c>
    </row>
  </sheetData>
  <mergeCells count="5">
    <mergeCell ref="A21:E21"/>
    <mergeCell ref="A20:E20"/>
    <mergeCell ref="A2:E2"/>
    <mergeCell ref="A19:E19"/>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7" customWidth="1" style="24" min="1" max="1"/>
    <col width="18" customWidth="1" style="24" min="2" max="2"/>
    <col width="16" customWidth="1" style="24" min="3" max="3"/>
    <col width="22" customWidth="1" style="24" min="4" max="5"/>
  </cols>
  <sheetData>
    <row r="1" ht="17.9" customHeight="1" s="20">
      <c r="A1" s="25" t="inlineStr">
        <is>
          <t>Cross-budget transferred-in funds (调入资金), 2013–2024</t>
        </is>
      </c>
    </row>
    <row r="2" ht="15" customHeight="1" s="20">
      <c r="A2" s="26" t="inlineStr">
        <is>
          <t>These are NOT past-savings drawdowns — they are cross-budget transfers, primarily from the government-managed funds budget (i.e., land sale surpluses) into the general public budget.</t>
        </is>
      </c>
    </row>
    <row r="4" ht="36" customHeight="1" s="20">
      <c r="A4" s="27" t="inlineStr">
        <is>
          <t>Year</t>
        </is>
      </c>
      <c r="B4" s="28" t="inlineStr">
        <is>
          <t>调入资金 (亿元)</t>
        </is>
      </c>
      <c r="C4" s="27" t="inlineStr">
        <is>
          <t>In trillion yuan</t>
        </is>
      </c>
      <c r="D4" s="27" t="inlineStr">
        <is>
          <t>Land sale revenue (亿)</t>
        </is>
      </c>
      <c r="E4" s="27" t="inlineStr">
        <is>
          <t>Ratio: 调入 / 土地出让金</t>
        </is>
      </c>
    </row>
    <row r="5" ht="15" customHeight="1" s="20">
      <c r="A5" s="29" t="n">
        <v>2013</v>
      </c>
      <c r="B5" s="30" t="n">
        <v>593.26</v>
      </c>
      <c r="C5" s="37">
        <f>B5/10000</f>
        <v/>
      </c>
      <c r="D5" s="41" t="inlineStr">
        <is>
          <t>—</t>
        </is>
      </c>
      <c r="E5" s="41" t="inlineStr">
        <is>
          <t>—</t>
        </is>
      </c>
    </row>
    <row r="6" ht="15" customHeight="1" s="20">
      <c r="A6" s="29" t="n">
        <v>2014</v>
      </c>
      <c r="B6" s="30" t="n">
        <v>0</v>
      </c>
      <c r="C6" s="37">
        <f>B6/10000</f>
        <v/>
      </c>
      <c r="D6" s="41" t="inlineStr">
        <is>
          <t>—</t>
        </is>
      </c>
      <c r="E6" s="41" t="inlineStr">
        <is>
          <t>—</t>
        </is>
      </c>
    </row>
    <row r="7" ht="15" customHeight="1" s="20">
      <c r="A7" s="29" t="n">
        <v>2015</v>
      </c>
      <c r="B7" s="30" t="n">
        <v>7236.07</v>
      </c>
      <c r="C7" s="37">
        <f>B7/10000</f>
        <v/>
      </c>
      <c r="D7" s="41" t="inlineStr">
        <is>
          <t>—</t>
        </is>
      </c>
      <c r="E7" s="41" t="inlineStr">
        <is>
          <t>—</t>
        </is>
      </c>
    </row>
    <row r="8" ht="15" customHeight="1" s="20">
      <c r="A8" s="29" t="n">
        <v>2016</v>
      </c>
      <c r="B8" s="30" t="n">
        <v>5911.31</v>
      </c>
      <c r="C8" s="37">
        <f>B8/10000</f>
        <v/>
      </c>
      <c r="D8" s="41" t="inlineStr">
        <is>
          <t>—</t>
        </is>
      </c>
      <c r="E8" s="41" t="inlineStr">
        <is>
          <t>—</t>
        </is>
      </c>
    </row>
    <row r="9" ht="15" customHeight="1" s="20">
      <c r="A9" s="29" t="n">
        <v>2017</v>
      </c>
      <c r="B9" s="30" t="n">
        <v>8407.15</v>
      </c>
      <c r="C9" s="37">
        <f>B9/10000</f>
        <v/>
      </c>
      <c r="D9" s="41" t="inlineStr">
        <is>
          <t>—</t>
        </is>
      </c>
      <c r="E9" s="41" t="inlineStr">
        <is>
          <t>—</t>
        </is>
      </c>
    </row>
    <row r="10" ht="15" customHeight="1" s="20">
      <c r="A10" s="29" t="n">
        <v>2018</v>
      </c>
      <c r="B10" s="30" t="n">
        <v>12312.28</v>
      </c>
      <c r="C10" s="37">
        <f>B10/10000</f>
        <v/>
      </c>
      <c r="D10" s="30" t="n">
        <v>62875.11</v>
      </c>
      <c r="E10" s="38">
        <f>B10/D10</f>
        <v/>
      </c>
    </row>
    <row r="11" ht="15" customHeight="1" s="20">
      <c r="A11" s="29" t="n">
        <v>2019</v>
      </c>
      <c r="B11" s="30" t="n">
        <v>19002.75</v>
      </c>
      <c r="C11" s="37">
        <f>B11/10000</f>
        <v/>
      </c>
      <c r="D11" s="30" t="n">
        <v>70631.06</v>
      </c>
      <c r="E11" s="38">
        <f>B11/D11</f>
        <v/>
      </c>
    </row>
    <row r="12" ht="15" customHeight="1" s="20">
      <c r="A12" s="29" t="n">
        <v>2020</v>
      </c>
      <c r="B12" s="30" t="n">
        <v>17422.37</v>
      </c>
      <c r="C12" s="37">
        <f>B12/10000</f>
        <v/>
      </c>
      <c r="D12" s="30" t="n">
        <v>82098.02</v>
      </c>
      <c r="E12" s="38">
        <f>B12/D12</f>
        <v/>
      </c>
    </row>
    <row r="13" ht="15" customHeight="1" s="20">
      <c r="A13" s="29" t="n">
        <v>2021</v>
      </c>
      <c r="B13" s="30" t="n">
        <v>9186.469999999999</v>
      </c>
      <c r="C13" s="37">
        <f>B13/10000</f>
        <v/>
      </c>
      <c r="D13" s="30" t="n">
        <v>84897.67</v>
      </c>
      <c r="E13" s="38">
        <f>B13/D13</f>
        <v/>
      </c>
    </row>
    <row r="14" ht="15" customHeight="1" s="20">
      <c r="A14" s="29" t="n">
        <v>2022</v>
      </c>
      <c r="B14" s="30" t="n">
        <v>12077.32</v>
      </c>
      <c r="C14" s="37">
        <f>B14/10000</f>
        <v/>
      </c>
      <c r="D14" s="30" t="n">
        <v>65326</v>
      </c>
      <c r="E14" s="38">
        <f>B14/D14</f>
        <v/>
      </c>
    </row>
    <row r="15" ht="15" customHeight="1" s="20">
      <c r="A15" s="29" t="n">
        <v>2023</v>
      </c>
      <c r="B15" s="30" t="n">
        <v>9138.41</v>
      </c>
      <c r="C15" s="37">
        <f>B15/10000</f>
        <v/>
      </c>
      <c r="D15" s="30" t="n">
        <v>56633.68</v>
      </c>
      <c r="E15" s="38">
        <f>B15/D15</f>
        <v/>
      </c>
    </row>
    <row r="16" ht="15" customHeight="1" s="20">
      <c r="A16" s="29" t="n">
        <v>2024</v>
      </c>
      <c r="B16" s="30" t="n">
        <v>17077.43</v>
      </c>
      <c r="C16" s="37">
        <f>B16/10000</f>
        <v/>
      </c>
      <c r="D16" s="30" t="n">
        <v>47741.7</v>
      </c>
      <c r="E16" s="38">
        <f>B16/D16</f>
        <v/>
      </c>
    </row>
    <row r="18" ht="15" customHeight="1" s="20">
      <c r="A18" s="35" t="inlineStr">
        <is>
          <t>Key findings:</t>
        </is>
      </c>
    </row>
    <row r="19" ht="15" customHeight="1" s="20">
      <c r="A19" s="36" t="inlineStr">
        <is>
          <t>• Peak: 1.90 trillion yuan in 2019 (close to 10% of total local spending).</t>
        </is>
      </c>
    </row>
    <row r="20" ht="15" customHeight="1" s="20">
      <c r="A20" s="36" t="inlineStr">
        <is>
          <t>• Sharp drop in 2021 to 920 billion — even before land sales themselves peaked, the transferable surplus from government-managed funds had thinned as fund spending caught up with revenue.</t>
        </is>
      </c>
    </row>
    <row r="21" ht="15" customHeight="1" s="20">
      <c r="A21" s="36" t="inlineStr">
        <is>
          <t>• Recovery to 1.71 trillion in 2024 reflects increased reliance on central debt (via shared fiscal responsibility transfers and special bonds) rather than land revenue, which kept falling.</t>
        </is>
      </c>
    </row>
    <row r="22" ht="15" customHeight="1" s="20">
      <c r="A22" s="36" t="inlineStr">
        <is>
          <t>• The mechanism's collapse deepened provincial dependence on central transfers rather than relieving it.</t>
        </is>
      </c>
    </row>
  </sheetData>
  <mergeCells count="6">
    <mergeCell ref="A21:E21"/>
    <mergeCell ref="A20:E20"/>
    <mergeCell ref="A2:E2"/>
    <mergeCell ref="A19:E19"/>
    <mergeCell ref="A1:E1"/>
    <mergeCell ref="A22:E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24" min="1" max="1"/>
    <col width="100" customWidth="1" style="24" min="2" max="2"/>
  </cols>
  <sheetData>
    <row r="1" ht="17.35" customHeight="1" s="20">
      <c r="A1" s="25" t="inlineStr">
        <is>
          <t>Sources &amp; methodology</t>
        </is>
      </c>
    </row>
    <row r="3" ht="49.5" customHeight="1" s="20">
      <c r="A3" s="35" t="inlineStr">
        <is>
          <t>Sheet A — property taxes</t>
        </is>
      </c>
      <c r="B3" s="43" t="inlineStr">
        <is>
          <t>Local General Public Budget Revenue Final Account Tables, MoF Budget Department, 2013–2024. Each line item extracted directly. URLs in main README.</t>
        </is>
      </c>
    </row>
    <row r="4" ht="49.5" customHeight="1" s="20">
      <c r="A4" s="35" t="inlineStr">
        <is>
          <t>Sheet B — land sales</t>
        </is>
      </c>
      <c r="B4" s="43" t="inlineStr">
        <is>
          <t>Local Government-managed Funds Revenue Final Account Tables, line '国有土地使用权出让金收入', 2018–2024. Pre-2018 data uses different categorization and is omitted for comparability.</t>
        </is>
      </c>
    </row>
    <row r="5" ht="49.5" customHeight="1" s="20">
      <c r="A5" s="35" t="inlineStr">
        <is>
          <t>Sheet C — central-local share</t>
        </is>
      </c>
      <c r="B5" s="43" t="inlineStr">
        <is>
          <t>National / Central / Local General Public Budget Revenue Final Account Tables, 2013 and 2024. China NBS nominal GDP (current prices).</t>
        </is>
      </c>
    </row>
    <row r="6" ht="49.5" customHeight="1" s="20">
      <c r="A6" s="35" t="inlineStr">
        <is>
          <t>Sheet D — central pass-through</t>
        </is>
      </c>
      <c r="B6" s="43" t="inlineStr">
        <is>
          <t>Central General Public Budget Revenue Final Account Tables, 2013–2024. Central-to-local transfer total = general transfer + special transfer + (pre-2019: tax rebate; post-2019: tax rebate is bundled in general transfer).</t>
        </is>
      </c>
    </row>
    <row r="7" ht="49.5" customHeight="1" s="20">
      <c r="A7" s="35" t="inlineStr">
        <is>
          <t>Sheet E — 调入资金</t>
        </is>
      </c>
      <c r="B7" s="43" t="inlineStr">
        <is>
          <t>Local General Public Budget Revenue Final Account Tables, footer line. Label varies year-to-year between '从预算稳定调节基金调入及使用结转结余' and '地方财政调入资金及使用结转结余'.</t>
        </is>
      </c>
    </row>
    <row r="8" ht="49.5" customHeight="1" s="20">
      <c r="A8" s="35" t="n"/>
      <c r="B8" s="43" t="n"/>
    </row>
    <row r="9" ht="49.5" customHeight="1" s="20">
      <c r="A9" s="35" t="inlineStr">
        <is>
          <t>Caliber notes</t>
        </is>
      </c>
      <c r="B9" s="43" t="inlineStr">
        <is>
          <t>(1) Pre-2019 'central-to-local transfer' excludes tax rebate as a separate row; the comparable total used here adds tax rebate back. (2) 2014 调入资金 was not separately listed (recorded as 0). (3) Provincial-level breakdowns of 调入资金 by source budget are not in the national tables; the inference that this line is dominated by government-managed funds inflows comes from provincial budget reports of high-disclosure provinces (e.g., Guangdong, Zhejiang).</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2026-05-10T18:01:22Z</dcterms:created>
  <dcterms:modified xmlns:dcterms="http://purl.org/dc/terms/" xmlns:xsi="http://www.w3.org/2001/XMLSchema-instance" xsi:type="dcterms:W3CDTF">2026-05-10T19:18:33Z</dcterms:modified>
  <cp:revision>0</cp:revision>
</cp:coreProperties>
</file>