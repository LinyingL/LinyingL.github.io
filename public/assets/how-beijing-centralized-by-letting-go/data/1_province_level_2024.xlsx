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_metadata" sheetId="1" state="visible" r:id="rId1"/>
    <sheet xmlns:r="http://schemas.openxmlformats.org/officeDocument/2006/relationships" name="Province_data" sheetId="2" state="visible" r:id="rId2"/>
    <sheet xmlns:r="http://schemas.openxmlformats.org/officeDocument/2006/relationships" name="Counterintuitive_findings" sheetId="3" state="visible" r:id="rId3"/>
    <sheet xmlns:r="http://schemas.openxmlformats.org/officeDocument/2006/relationships" name="Sources_and_methodology"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0;\(#,##0.00\);\-"/>
    <numFmt numFmtId="165" formatCode="0.0%"/>
  </numFmts>
  <fonts count="18">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DejaVu Sans"/>
      <family val="2"/>
      <b val="1"/>
      <sz val="14"/>
    </font>
    <font>
      <name val="DejaVu Sans"/>
      <family val="2"/>
      <i val="1"/>
      <color rgb="FF555555"/>
      <sz val="10"/>
    </font>
    <font>
      <name val="Arial"/>
      <charset val="1"/>
      <family val="0"/>
      <i val="1"/>
      <color rgb="FF555555"/>
      <sz val="10"/>
    </font>
    <font>
      <name val="DejaVu Sans"/>
      <family val="2"/>
      <b val="1"/>
      <color rgb="FFFFFFFF"/>
      <sz val="11"/>
    </font>
    <font>
      <name val="DejaVu Sans"/>
      <family val="2"/>
      <sz val="11"/>
    </font>
    <font>
      <name val="Arial"/>
      <charset val="1"/>
      <family val="0"/>
      <sz val="11"/>
    </font>
    <font>
      <name val="Arial"/>
      <charset val="1"/>
      <family val="0"/>
      <b val="1"/>
      <sz val="11"/>
    </font>
    <font>
      <name val="DejaVu Sans"/>
      <family val="2"/>
      <b val="1"/>
      <sz val="11"/>
    </font>
    <font>
      <name val="Arial"/>
      <charset val="1"/>
      <family val="0"/>
      <b val="1"/>
      <sz val="12"/>
    </font>
    <font>
      <name val="DejaVu Sans"/>
      <family val="2"/>
      <b val="1"/>
      <sz val="12"/>
    </font>
    <font>
      <name val="Arial"/>
      <b val="1"/>
      <sz val="14"/>
    </font>
    <font>
      <name val="Arial"/>
      <b val="1"/>
      <sz val="11"/>
    </font>
    <font>
      <name val="Arial"/>
      <sz val="10"/>
    </font>
  </fonts>
  <fills count="4">
    <fill>
      <patternFill/>
    </fill>
    <fill>
      <patternFill patternType="gray125"/>
    </fill>
    <fill>
      <patternFill patternType="solid">
        <fgColor rgb="FF305496"/>
        <bgColor rgb="FF555555"/>
      </patternFill>
    </fill>
    <fill>
      <patternFill patternType="solid">
        <fgColor rgb="FFDCE6F1"/>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5">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2" borderId="1" applyAlignment="1" pivotButton="0" quotePrefix="0" xfId="0">
      <alignment horizontal="center" vertical="center" wrapText="1"/>
    </xf>
    <xf numFmtId="0" fontId="9" fillId="0" borderId="1" applyAlignment="1" pivotButton="0" quotePrefix="0" xfId="0">
      <alignment horizontal="left" vertical="center"/>
    </xf>
    <xf numFmtId="164" fontId="10" fillId="0" borderId="1" applyAlignment="1" pivotButton="0" quotePrefix="0" xfId="0">
      <alignment horizontal="right" vertical="center"/>
    </xf>
    <xf numFmtId="165" fontId="10" fillId="0" borderId="1" applyAlignment="1" pivotButton="0" quotePrefix="0" xfId="0">
      <alignment horizontal="right" vertical="center"/>
    </xf>
    <xf numFmtId="0" fontId="10" fillId="0" borderId="1" applyAlignment="1" pivotButton="0" quotePrefix="0" xfId="0">
      <alignment horizontal="right" vertical="center"/>
    </xf>
    <xf numFmtId="0" fontId="11" fillId="3" borderId="1" applyAlignment="1" pivotButton="0" quotePrefix="0" xfId="0">
      <alignment horizontal="left" vertical="center"/>
    </xf>
    <xf numFmtId="164" fontId="11" fillId="3" borderId="1" applyAlignment="1" pivotButton="0" quotePrefix="0" xfId="0">
      <alignment horizontal="right" vertical="center"/>
    </xf>
    <xf numFmtId="165" fontId="11" fillId="3" borderId="1" applyAlignment="1" pivotButton="0" quotePrefix="0" xfId="0">
      <alignment horizontal="right" vertical="center"/>
    </xf>
    <xf numFmtId="0" fontId="11" fillId="3" borderId="1" applyAlignment="1" pivotButton="0" quotePrefix="0" xfId="0">
      <alignment horizontal="right" vertical="center"/>
    </xf>
    <xf numFmtId="0" fontId="12" fillId="3" borderId="1" applyAlignment="1" pivotButton="0" quotePrefix="0" xfId="0">
      <alignment horizontal="left" vertical="center"/>
    </xf>
    <xf numFmtId="0" fontId="5" fillId="0" borderId="0" applyAlignment="1" pivotButton="0" quotePrefix="0" xfId="0">
      <alignment horizontal="general" vertical="bottom"/>
    </xf>
    <xf numFmtId="0" fontId="13" fillId="0" borderId="0" applyAlignment="1" pivotButton="0" quotePrefix="0" xfId="0">
      <alignment horizontal="general" vertical="bottom"/>
    </xf>
    <xf numFmtId="0" fontId="9" fillId="0" borderId="1" applyAlignment="1" pivotButton="0" quotePrefix="0" xfId="0">
      <alignment horizontal="right" vertical="center"/>
    </xf>
    <xf numFmtId="4" fontId="10" fillId="0" borderId="1" applyAlignment="1" pivotButton="0" quotePrefix="0" xfId="0">
      <alignment horizontal="right" vertical="center"/>
    </xf>
    <xf numFmtId="0" fontId="10" fillId="0" borderId="0" applyAlignment="1" pivotButton="0" quotePrefix="0" xfId="0">
      <alignment horizontal="general" vertical="top" wrapText="1"/>
    </xf>
    <xf numFmtId="0" fontId="12" fillId="0" borderId="0" applyAlignment="1" pivotButton="0" quotePrefix="0" xfId="0">
      <alignment horizontal="general" vertical="bottom"/>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0" fillId="0" borderId="0" pivotButton="0" quotePrefix="0" xfId="0"/>
    <xf numFmtId="0" fontId="15" fillId="0" borderId="0" pivotButton="0" quotePrefix="0" xfId="0"/>
    <xf numFmtId="0" fontId="16" fillId="0" borderId="0" applyAlignment="1" pivotButton="0" quotePrefix="0" xfId="0">
      <alignment vertical="top"/>
    </xf>
    <xf numFmtId="0" fontId="17" fillId="0" borderId="0" applyAlignment="1" pivotButton="0" quotePrefix="0" xfId="0">
      <alignment vertical="top" wrapText="1"/>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6" fillId="0" borderId="0" applyAlignment="1" pivotButton="0" quotePrefix="0" xfId="0">
      <alignment horizontal="general" vertical="bottom"/>
    </xf>
    <xf numFmtId="0" fontId="8" fillId="2" borderId="1" applyAlignment="1" pivotButton="0" quotePrefix="0" xfId="0">
      <alignment horizontal="center" vertical="center" wrapText="1"/>
    </xf>
    <xf numFmtId="0" fontId="9" fillId="0" borderId="1" applyAlignment="1" pivotButton="0" quotePrefix="0" xfId="0">
      <alignment horizontal="left" vertical="center"/>
    </xf>
    <xf numFmtId="164" fontId="10" fillId="0" borderId="1" applyAlignment="1" pivotButton="0" quotePrefix="0" xfId="0">
      <alignment horizontal="right" vertical="center"/>
    </xf>
    <xf numFmtId="165" fontId="10" fillId="0" borderId="1" applyAlignment="1" pivotButton="0" quotePrefix="0" xfId="0">
      <alignment horizontal="right" vertical="center"/>
    </xf>
    <xf numFmtId="0" fontId="10" fillId="0" borderId="1" applyAlignment="1" pivotButton="0" quotePrefix="0" xfId="0">
      <alignment horizontal="right" vertical="center"/>
    </xf>
    <xf numFmtId="0" fontId="11" fillId="3" borderId="1" applyAlignment="1" pivotButton="0" quotePrefix="0" xfId="0">
      <alignment horizontal="left" vertical="center"/>
    </xf>
    <xf numFmtId="164" fontId="11" fillId="3" borderId="1" applyAlignment="1" pivotButton="0" quotePrefix="0" xfId="0">
      <alignment horizontal="right" vertical="center"/>
    </xf>
    <xf numFmtId="165" fontId="11" fillId="3" borderId="1" applyAlignment="1" pivotButton="0" quotePrefix="0" xfId="0">
      <alignment horizontal="right" vertical="center"/>
    </xf>
    <xf numFmtId="0" fontId="11" fillId="3" borderId="1" applyAlignment="1" pivotButton="0" quotePrefix="0" xfId="0">
      <alignment horizontal="right" vertical="center"/>
    </xf>
    <xf numFmtId="0" fontId="12" fillId="3" borderId="1" applyAlignment="1" pivotButton="0" quotePrefix="0" xfId="0">
      <alignment horizontal="left" vertical="center"/>
    </xf>
    <xf numFmtId="0" fontId="5" fillId="0" borderId="0" applyAlignment="1" pivotButton="0" quotePrefix="0" xfId="0">
      <alignment horizontal="general" vertical="bottom"/>
    </xf>
    <xf numFmtId="0" fontId="13" fillId="0" borderId="0" applyAlignment="1" pivotButton="0" quotePrefix="0" xfId="0">
      <alignment horizontal="general" vertical="bottom"/>
    </xf>
    <xf numFmtId="0" fontId="9" fillId="0" borderId="1" applyAlignment="1" pivotButton="0" quotePrefix="0" xfId="0">
      <alignment horizontal="right" vertical="center"/>
    </xf>
    <xf numFmtId="4" fontId="10" fillId="0" borderId="1" applyAlignment="1" pivotButton="0" quotePrefix="0" xfId="0">
      <alignment horizontal="right" vertical="center"/>
    </xf>
    <xf numFmtId="0" fontId="10" fillId="0" borderId="0" applyAlignment="1" pivotButton="0" quotePrefix="0" xfId="0">
      <alignment horizontal="general" vertical="top" wrapText="1"/>
    </xf>
    <xf numFmtId="0" fontId="12" fillId="0" borderId="0" applyAlignment="1" pivotButton="0" quotePrefix="0" xfId="0">
      <alignment horizontal="general" vertical="bottom"/>
    </xf>
    <xf numFmtId="0" fontId="9"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05496"/>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6" customWidth="1" style="21" min="1" max="1"/>
    <col width="110" customWidth="1" style="21" min="2" max="2"/>
  </cols>
  <sheetData>
    <row r="1" ht="28" customHeight="1" s="21">
      <c r="A1" s="22" t="inlineStr">
        <is>
          <t>Province-level central-to-local transfer payment composition, 2024</t>
        </is>
      </c>
    </row>
    <row r="3" ht="60" customHeight="1" s="21">
      <c r="A3" s="23" t="inlineStr">
        <is>
          <t>Description</t>
        </is>
      </c>
      <c r="B3" s="24" t="inlineStr">
        <is>
          <t>All 31 provincial-level governments of mainland China plus the Xinjiang Production and Construction Corps. Decomposes 2024 central-to-local transfers into general transfer, shared fiscal responsibility (a subset of general), and special-purpose transfer, with derived shares and rankings.</t>
        </is>
      </c>
    </row>
    <row r="4" ht="22" customHeight="1" s="21">
      <c r="A4" s="23" t="inlineStr">
        <is>
          <t>Publisher</t>
        </is>
      </c>
      <c r="B4" s="24" t="inlineStr">
        <is>
          <t>Linying Li</t>
        </is>
      </c>
    </row>
    <row r="5" ht="22" customHeight="1" s="21">
      <c r="A5" s="23" t="inlineStr">
        <is>
          <t>Author</t>
        </is>
      </c>
      <c r="B5" s="24" t="inlineStr">
        <is>
          <t>Linying Li</t>
        </is>
      </c>
    </row>
    <row r="6" ht="22" customHeight="1" s="21">
      <c r="A6" s="23" t="inlineStr">
        <is>
          <t>License</t>
        </is>
      </c>
      <c r="B6" s="24" t="inlineStr">
        <is>
          <t>CC BY 4.0 (Creative Commons Attribution 4.0 International)</t>
        </is>
      </c>
    </row>
    <row r="7" ht="22" customHeight="1" s="21">
      <c r="A7" s="23" t="inlineStr">
        <is>
          <t>License URL</t>
        </is>
      </c>
      <c r="B7" s="24" t="inlineStr">
        <is>
          <t>https://creativecommons.org/licenses/by/4.0/</t>
        </is>
      </c>
    </row>
    <row r="8" ht="60" customHeight="1" s="21">
      <c r="A8" s="23" t="inlineStr">
        <is>
          <t>Citation</t>
        </is>
      </c>
      <c r="B8" s="24" t="inlineStr">
        <is>
          <t>Linying Li, "How Beijing Centralized by Letting Go: Data and Code," https://linyingl.github.io/posts/how-beijing-centralized-by-letting-go/ (2026). CC BY 4.0.</t>
        </is>
      </c>
    </row>
    <row r="10" ht="60" customHeight="1" s="21">
      <c r="A10" s="23" t="inlineStr">
        <is>
          <t>Data source 1</t>
        </is>
      </c>
      <c r="B10" s="24" t="inlineStr">
        <is>
          <t>Central-to-Local General Transfer Payments by Region, 2024 Final Account Table — http://yss.mof.gov.cn/2024zyjs/202507/t20250715_3967893.htm</t>
        </is>
      </c>
    </row>
    <row r="11" ht="60" customHeight="1" s="21">
      <c r="A11" s="23" t="inlineStr">
        <is>
          <t>Data source 2</t>
        </is>
      </c>
      <c r="B11" s="24" t="inlineStr">
        <is>
          <t>Central-to-Local Special Transfer Payments by Region, 2024 Final Account Table — http://yss.mof.gov.cn/2024zyjs/202507/t20250715_3967891.htm</t>
        </is>
      </c>
    </row>
    <row r="12" ht="60" customHeight="1" s="21">
      <c r="A12" s="23" t="inlineStr">
        <is>
          <t>Data source 3</t>
        </is>
      </c>
      <c r="B12" s="24" t="inlineStr">
        <is>
          <t>Shared Fiscal Responsibility Transfer Payments by Region, 2024 Final Account Table — http://yss.mof.gov.cn/2024zyjs/202507/t20250715_3967892.htm</t>
        </is>
      </c>
    </row>
    <row r="13" ht="36" customHeight="1" s="21">
      <c r="A13" s="23" t="inlineStr">
        <is>
          <t>Source publisher</t>
        </is>
      </c>
      <c r="B13" s="24" t="inlineStr">
        <is>
          <t>Ministry of Finance Budget Department, People's Republic of China</t>
        </is>
      </c>
    </row>
    <row r="14" ht="22" customHeight="1" s="21">
      <c r="A14" s="23" t="inlineStr">
        <is>
          <t>Source release date</t>
        </is>
      </c>
      <c r="B14" s="24" t="inlineStr">
        <is>
          <t>2025-07-15</t>
        </is>
      </c>
    </row>
    <row r="15" ht="22" customHeight="1" s="21">
      <c r="A15" s="23" t="inlineStr">
        <is>
          <t>Date accessed</t>
        </is>
      </c>
      <c r="B15" s="24" t="inlineStr">
        <is>
          <t>2026-05-10</t>
        </is>
      </c>
    </row>
    <row r="17" ht="22" customHeight="1" s="21">
      <c r="A17" s="23" t="inlineStr">
        <is>
          <t>Unit</t>
        </is>
      </c>
      <c r="B17" s="24" t="inlineStr">
        <is>
          <t>100 million RMB (亿元); shares in percent</t>
        </is>
      </c>
    </row>
    <row r="18" ht="60" customHeight="1" s="21">
      <c r="A18" s="23" t="inlineStr">
        <is>
          <t>Methodology</t>
        </is>
      </c>
      <c r="B18" s="24" t="inlineStr">
        <is>
          <t>Each province appears in source tables as both the all-encompassing province row and separately for centrally listed cities (e.g., Liaoning + Dalian). This dataset consolidates back to the all-encompassing province row to avoid double counting. The "unallocated to region" (未落实到地区数) residual reported in the source's budget column is excluded; final-account columns sum to the national total.</t>
        </is>
      </c>
    </row>
    <row r="19" ht="60" customHeight="1" s="21">
      <c r="A19" s="23" t="inlineStr">
        <is>
          <t>Caliber notes</t>
        </is>
      </c>
      <c r="B19" s="24" t="inlineStr">
        <is>
          <t>Xinjiang Production and Construction Corps (兵团) is listed by the Ministry of Finance separately from Xinjiang Uyghur Autonomous Region and is preserved as a separate row here for fidelity to the source.</t>
        </is>
      </c>
    </row>
    <row r="20" ht="60" customHeight="1" s="21">
      <c r="A20" s="23" t="inlineStr">
        <is>
          <t>Missing value convention</t>
        </is>
      </c>
      <c r="B20" s="24" t="inlineStr">
        <is>
          <t>"—" or "N/A" indicates the figure is not separately reported in the source for that year (typically because the category did not exist or was bundled elsewhere). Blank cells indicate data not available in the published source.</t>
        </is>
      </c>
    </row>
    <row r="22" ht="22" customHeight="1" s="21">
      <c r="A22" s="23" t="inlineStr">
        <is>
          <t>Dataset version</t>
        </is>
      </c>
      <c r="B22" s="24" t="inlineStr">
        <is>
          <t>1.1.0</t>
        </is>
      </c>
    </row>
    <row r="23" ht="22" customHeight="1" s="21">
      <c r="A23" s="23" t="inlineStr">
        <is>
          <t>Last updated</t>
        </is>
      </c>
      <c r="B23" s="24" t="inlineStr">
        <is>
          <t>2026-05-10</t>
        </is>
      </c>
    </row>
    <row r="24" ht="36" customHeight="1" s="21">
      <c r="A24" s="23" t="inlineStr">
        <is>
          <t>Homepage</t>
        </is>
      </c>
      <c r="B24" s="24" t="inlineStr">
        <is>
          <t>https://linyingl.github.io/posts/how-beijing-centralized-by-letting-go/</t>
        </is>
      </c>
    </row>
  </sheetData>
  <mergeCells count="1">
    <mergeCell ref="A1:B1"/>
  </mergeCells>
  <pageMargins left="0.75" right="0.75" top="1" bottom="1" header="0.5" footer="0.5"/>
</worksheet>
</file>

<file path=xl/worksheets/sheet2.xml><?xml version="1.0" encoding="utf-8"?>
<worksheet xmlns="http://schemas.openxmlformats.org/spreadsheetml/2006/main">
  <sheetPr filterMode="0">
    <outlinePr summaryBelow="1" summaryRight="1"/>
    <pageSetUpPr fitToPage="0"/>
  </sheetPr>
  <dimension ref="A1:I38"/>
  <sheetViews>
    <sheetView showFormulas="0" showGridLines="1" showRowColHeaders="1" showZeros="1" rightToLeft="0" tabSelected="1"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baseColWidth="8" defaultColWidth="8.6796875" defaultRowHeight="15" customHeight="0" zeroHeight="0" outlineLevelRow="0"/>
  <cols>
    <col width="22" customWidth="1" style="25" min="1" max="4"/>
    <col width="18" customWidth="1" style="25" min="5" max="5"/>
    <col width="12" customWidth="1" style="25" min="6" max="6"/>
    <col width="18" customWidth="1" style="25" min="7" max="7"/>
    <col width="12" customWidth="1" style="25" min="8" max="8"/>
    <col width="14" customWidth="1" style="25" min="9" max="9"/>
  </cols>
  <sheetData>
    <row r="1" ht="17.9" customHeight="1" s="21">
      <c r="A1" s="26" t="inlineStr">
        <is>
          <t>2024年中央对地方转移支付分省决算（一般性 vs 专项）</t>
        </is>
      </c>
    </row>
    <row r="2" ht="12.65" customHeight="1" s="21">
      <c r="A2" s="27" t="inlineStr">
        <is>
          <t>单位：亿元（金额）/ %（占比）；数据来源：财政部预算司，2025-07-15 发布</t>
        </is>
      </c>
    </row>
    <row r="4" ht="36" customHeight="1" s="21">
      <c r="A4" s="28" t="inlineStr">
        <is>
          <t>地区</t>
        </is>
      </c>
      <c r="B4" s="28" t="inlineStr">
        <is>
          <t>一般性转移支付（决算）</t>
        </is>
      </c>
      <c r="C4" s="28" t="inlineStr">
        <is>
          <t>其中：共同财政事权</t>
        </is>
      </c>
      <c r="D4" s="28" t="inlineStr">
        <is>
          <t>专项转移支付（决算）</t>
        </is>
      </c>
      <c r="E4" s="28" t="inlineStr">
        <is>
          <t>转移支付合计</t>
        </is>
      </c>
      <c r="F4" s="28" t="inlineStr">
        <is>
          <t>专项占比</t>
        </is>
      </c>
      <c r="G4" s="28" t="inlineStr">
        <is>
          <t>共同事权占一般性比</t>
        </is>
      </c>
      <c r="H4" s="28" t="inlineStr">
        <is>
          <t>总额排名</t>
        </is>
      </c>
      <c r="I4" s="28" t="inlineStr">
        <is>
          <t>专项占比排名</t>
        </is>
      </c>
    </row>
    <row r="5" ht="15" customHeight="1" s="21">
      <c r="A5" s="29" t="inlineStr">
        <is>
          <t>北京市</t>
        </is>
      </c>
      <c r="B5" s="30" t="n">
        <v>1126</v>
      </c>
      <c r="C5" s="30" t="n">
        <v>349.79</v>
      </c>
      <c r="D5" s="30" t="n">
        <v>226.15</v>
      </c>
      <c r="E5" s="30">
        <f>B5+D5</f>
        <v/>
      </c>
      <c r="F5" s="31">
        <f>D5/E5</f>
        <v/>
      </c>
      <c r="G5" s="31">
        <f>C5/B5</f>
        <v/>
      </c>
      <c r="H5" s="32">
        <f>RANK(E5,$E$5:$E$36)</f>
        <v/>
      </c>
      <c r="I5" s="32">
        <f>RANK(F5,$F$5:$F$36)</f>
        <v/>
      </c>
    </row>
    <row r="6" ht="15" customHeight="1" s="21">
      <c r="A6" s="29" t="inlineStr">
        <is>
          <t>天津市</t>
        </is>
      </c>
      <c r="B6" s="30" t="n">
        <v>668.8200000000001</v>
      </c>
      <c r="C6" s="30" t="n">
        <v>400.96</v>
      </c>
      <c r="D6" s="30" t="n">
        <v>54.34</v>
      </c>
      <c r="E6" s="30">
        <f>B6+D6</f>
        <v/>
      </c>
      <c r="F6" s="31">
        <f>D6/E6</f>
        <v/>
      </c>
      <c r="G6" s="31">
        <f>C6/B6</f>
        <v/>
      </c>
      <c r="H6" s="32">
        <f>RANK(E6,$E$5:$E$36)</f>
        <v/>
      </c>
      <c r="I6" s="32">
        <f>RANK(F6,$F$5:$F$36)</f>
        <v/>
      </c>
    </row>
    <row r="7" ht="15" customHeight="1" s="21">
      <c r="A7" s="29" t="inlineStr">
        <is>
          <t>河北省</t>
        </is>
      </c>
      <c r="B7" s="30" t="n">
        <v>3855.07</v>
      </c>
      <c r="C7" s="30" t="n">
        <v>1793.7</v>
      </c>
      <c r="D7" s="30" t="n">
        <v>450.73</v>
      </c>
      <c r="E7" s="30">
        <f>B7+D7</f>
        <v/>
      </c>
      <c r="F7" s="31">
        <f>D7/E7</f>
        <v/>
      </c>
      <c r="G7" s="31">
        <f>C7/B7</f>
        <v/>
      </c>
      <c r="H7" s="32">
        <f>RANK(E7,$E$5:$E$36)</f>
        <v/>
      </c>
      <c r="I7" s="32">
        <f>RANK(F7,$F$5:$F$36)</f>
        <v/>
      </c>
    </row>
    <row r="8" ht="15" customHeight="1" s="21">
      <c r="A8" s="29" t="inlineStr">
        <is>
          <t>山西省</t>
        </is>
      </c>
      <c r="B8" s="30" t="n">
        <v>2150.94</v>
      </c>
      <c r="C8" s="30" t="n">
        <v>943.1799999999999</v>
      </c>
      <c r="D8" s="30" t="n">
        <v>180.52</v>
      </c>
      <c r="E8" s="30">
        <f>B8+D8</f>
        <v/>
      </c>
      <c r="F8" s="31">
        <f>D8/E8</f>
        <v/>
      </c>
      <c r="G8" s="31">
        <f>C8/B8</f>
        <v/>
      </c>
      <c r="H8" s="32">
        <f>RANK(E8,$E$5:$E$36)</f>
        <v/>
      </c>
      <c r="I8" s="32">
        <f>RANK(F8,$F$5:$F$36)</f>
        <v/>
      </c>
    </row>
    <row r="9" ht="15" customHeight="1" s="21">
      <c r="A9" s="29" t="inlineStr">
        <is>
          <t>内蒙古自治区</t>
        </is>
      </c>
      <c r="B9" s="30" t="n">
        <v>3096.56</v>
      </c>
      <c r="C9" s="30" t="n">
        <v>1286.27</v>
      </c>
      <c r="D9" s="30" t="n">
        <v>272.59</v>
      </c>
      <c r="E9" s="30">
        <f>B9+D9</f>
        <v/>
      </c>
      <c r="F9" s="31">
        <f>D9/E9</f>
        <v/>
      </c>
      <c r="G9" s="31">
        <f>C9/B9</f>
        <v/>
      </c>
      <c r="H9" s="32">
        <f>RANK(E9,$E$5:$E$36)</f>
        <v/>
      </c>
      <c r="I9" s="32">
        <f>RANK(F9,$F$5:$F$36)</f>
        <v/>
      </c>
    </row>
    <row r="10" ht="15" customHeight="1" s="21">
      <c r="A10" s="29" t="inlineStr">
        <is>
          <t>辽宁省</t>
        </is>
      </c>
      <c r="B10" s="30" t="n">
        <v>3073.6</v>
      </c>
      <c r="C10" s="30" t="n">
        <v>1615.8</v>
      </c>
      <c r="D10" s="30" t="n">
        <v>230.29</v>
      </c>
      <c r="E10" s="30">
        <f>B10+D10</f>
        <v/>
      </c>
      <c r="F10" s="31">
        <f>D10/E10</f>
        <v/>
      </c>
      <c r="G10" s="31">
        <f>C10/B10</f>
        <v/>
      </c>
      <c r="H10" s="32">
        <f>RANK(E10,$E$5:$E$36)</f>
        <v/>
      </c>
      <c r="I10" s="32">
        <f>RANK(F10,$F$5:$F$36)</f>
        <v/>
      </c>
    </row>
    <row r="11" ht="15" customHeight="1" s="21">
      <c r="A11" s="29" t="inlineStr">
        <is>
          <t>吉林省</t>
        </is>
      </c>
      <c r="B11" s="30" t="n">
        <v>2642.86</v>
      </c>
      <c r="C11" s="30" t="n">
        <v>1162.35</v>
      </c>
      <c r="D11" s="30" t="n">
        <v>166.65</v>
      </c>
      <c r="E11" s="30">
        <f>B11+D11</f>
        <v/>
      </c>
      <c r="F11" s="31">
        <f>D11/E11</f>
        <v/>
      </c>
      <c r="G11" s="31">
        <f>C11/B11</f>
        <v/>
      </c>
      <c r="H11" s="32">
        <f>RANK(E11,$E$5:$E$36)</f>
        <v/>
      </c>
      <c r="I11" s="32">
        <f>RANK(F11,$F$5:$F$36)</f>
        <v/>
      </c>
    </row>
    <row r="12" ht="15" customHeight="1" s="21">
      <c r="A12" s="29" t="inlineStr">
        <is>
          <t>黑龙江省</t>
        </is>
      </c>
      <c r="B12" s="30" t="n">
        <v>4075.99</v>
      </c>
      <c r="C12" s="30" t="n">
        <v>1984.61</v>
      </c>
      <c r="D12" s="30" t="n">
        <v>185.82</v>
      </c>
      <c r="E12" s="30">
        <f>B12+D12</f>
        <v/>
      </c>
      <c r="F12" s="31">
        <f>D12/E12</f>
        <v/>
      </c>
      <c r="G12" s="31">
        <f>C12/B12</f>
        <v/>
      </c>
      <c r="H12" s="32">
        <f>RANK(E12,$E$5:$E$36)</f>
        <v/>
      </c>
      <c r="I12" s="32">
        <f>RANK(F12,$F$5:$F$36)</f>
        <v/>
      </c>
    </row>
    <row r="13" ht="15" customHeight="1" s="21">
      <c r="A13" s="29" t="inlineStr">
        <is>
          <t>上海市</t>
        </is>
      </c>
      <c r="B13" s="30" t="n">
        <v>676.87</v>
      </c>
      <c r="C13" s="30" t="n">
        <v>235.78</v>
      </c>
      <c r="D13" s="30" t="n">
        <v>253.71</v>
      </c>
      <c r="E13" s="30">
        <f>B13+D13</f>
        <v/>
      </c>
      <c r="F13" s="31">
        <f>D13/E13</f>
        <v/>
      </c>
      <c r="G13" s="31">
        <f>C13/B13</f>
        <v/>
      </c>
      <c r="H13" s="32">
        <f>RANK(E13,$E$5:$E$36)</f>
        <v/>
      </c>
      <c r="I13" s="32">
        <f>RANK(F13,$F$5:$F$36)</f>
        <v/>
      </c>
    </row>
    <row r="14" ht="15" customHeight="1" s="21">
      <c r="A14" s="29" t="inlineStr">
        <is>
          <t>江苏省</t>
        </is>
      </c>
      <c r="B14" s="30" t="n">
        <v>1708.06</v>
      </c>
      <c r="C14" s="30" t="n">
        <v>861.76</v>
      </c>
      <c r="D14" s="30" t="n">
        <v>260.42</v>
      </c>
      <c r="E14" s="30">
        <f>B14+D14</f>
        <v/>
      </c>
      <c r="F14" s="31">
        <f>D14/E14</f>
        <v/>
      </c>
      <c r="G14" s="31">
        <f>C14/B14</f>
        <v/>
      </c>
      <c r="H14" s="32">
        <f>RANK(E14,$E$5:$E$36)</f>
        <v/>
      </c>
      <c r="I14" s="32">
        <f>RANK(F14,$F$5:$F$36)</f>
        <v/>
      </c>
    </row>
    <row r="15" ht="15" customHeight="1" s="21">
      <c r="A15" s="29" t="inlineStr">
        <is>
          <t>浙江省</t>
        </is>
      </c>
      <c r="B15" s="30" t="n">
        <v>1067.13</v>
      </c>
      <c r="C15" s="30" t="n">
        <v>578.8200000000001</v>
      </c>
      <c r="D15" s="30" t="n">
        <v>264.65</v>
      </c>
      <c r="E15" s="30">
        <f>B15+D15</f>
        <v/>
      </c>
      <c r="F15" s="31">
        <f>D15/E15</f>
        <v/>
      </c>
      <c r="G15" s="31">
        <f>C15/B15</f>
        <v/>
      </c>
      <c r="H15" s="32">
        <f>RANK(E15,$E$5:$E$36)</f>
        <v/>
      </c>
      <c r="I15" s="32">
        <f>RANK(F15,$F$5:$F$36)</f>
        <v/>
      </c>
    </row>
    <row r="16" ht="15" customHeight="1" s="21">
      <c r="A16" s="29" t="inlineStr">
        <is>
          <t>安徽省</t>
        </is>
      </c>
      <c r="B16" s="30" t="n">
        <v>3776.05</v>
      </c>
      <c r="C16" s="30" t="n">
        <v>1667.94</v>
      </c>
      <c r="D16" s="30" t="n">
        <v>444.46</v>
      </c>
      <c r="E16" s="30">
        <f>B16+D16</f>
        <v/>
      </c>
      <c r="F16" s="31">
        <f>D16/E16</f>
        <v/>
      </c>
      <c r="G16" s="31">
        <f>C16/B16</f>
        <v/>
      </c>
      <c r="H16" s="32">
        <f>RANK(E16,$E$5:$E$36)</f>
        <v/>
      </c>
      <c r="I16" s="32">
        <f>RANK(F16,$F$5:$F$36)</f>
        <v/>
      </c>
    </row>
    <row r="17" ht="15" customHeight="1" s="21">
      <c r="A17" s="29" t="inlineStr">
        <is>
          <t>福建省</t>
        </is>
      </c>
      <c r="B17" s="30" t="n">
        <v>1517.14</v>
      </c>
      <c r="C17" s="30" t="n">
        <v>597.87</v>
      </c>
      <c r="D17" s="30" t="n">
        <v>177.12</v>
      </c>
      <c r="E17" s="30">
        <f>B17+D17</f>
        <v/>
      </c>
      <c r="F17" s="31">
        <f>D17/E17</f>
        <v/>
      </c>
      <c r="G17" s="31">
        <f>C17/B17</f>
        <v/>
      </c>
      <c r="H17" s="32">
        <f>RANK(E17,$E$5:$E$36)</f>
        <v/>
      </c>
      <c r="I17" s="32">
        <f>RANK(F17,$F$5:$F$36)</f>
        <v/>
      </c>
    </row>
    <row r="18" ht="15" customHeight="1" s="21">
      <c r="A18" s="29" t="inlineStr">
        <is>
          <t>江西省</t>
        </is>
      </c>
      <c r="B18" s="30" t="n">
        <v>3193.75</v>
      </c>
      <c r="C18" s="30" t="n">
        <v>1364.74</v>
      </c>
      <c r="D18" s="30" t="n">
        <v>225.92</v>
      </c>
      <c r="E18" s="30">
        <f>B18+D18</f>
        <v/>
      </c>
      <c r="F18" s="31">
        <f>D18/E18</f>
        <v/>
      </c>
      <c r="G18" s="31">
        <f>C18/B18</f>
        <v/>
      </c>
      <c r="H18" s="32">
        <f>RANK(E18,$E$5:$E$36)</f>
        <v/>
      </c>
      <c r="I18" s="32">
        <f>RANK(F18,$F$5:$F$36)</f>
        <v/>
      </c>
    </row>
    <row r="19" ht="15" customHeight="1" s="21">
      <c r="A19" s="29" t="inlineStr">
        <is>
          <t>山东省</t>
        </is>
      </c>
      <c r="B19" s="30" t="n">
        <v>3158.26</v>
      </c>
      <c r="C19" s="30" t="n">
        <v>1391.75</v>
      </c>
      <c r="D19" s="30" t="n">
        <v>372.66</v>
      </c>
      <c r="E19" s="30">
        <f>B19+D19</f>
        <v/>
      </c>
      <c r="F19" s="31">
        <f>D19/E19</f>
        <v/>
      </c>
      <c r="G19" s="31">
        <f>C19/B19</f>
        <v/>
      </c>
      <c r="H19" s="32">
        <f>RANK(E19,$E$5:$E$36)</f>
        <v/>
      </c>
      <c r="I19" s="32">
        <f>RANK(F19,$F$5:$F$36)</f>
        <v/>
      </c>
    </row>
    <row r="20" ht="15" customHeight="1" s="21">
      <c r="A20" s="29" t="inlineStr">
        <is>
          <t>河南省</t>
        </is>
      </c>
      <c r="B20" s="30" t="n">
        <v>5343.62</v>
      </c>
      <c r="C20" s="30" t="n">
        <v>2437.31</v>
      </c>
      <c r="D20" s="30" t="n">
        <v>304.89</v>
      </c>
      <c r="E20" s="30">
        <f>B20+D20</f>
        <v/>
      </c>
      <c r="F20" s="31">
        <f>D20/E20</f>
        <v/>
      </c>
      <c r="G20" s="31">
        <f>C20/B20</f>
        <v/>
      </c>
      <c r="H20" s="32">
        <f>RANK(E20,$E$5:$E$36)</f>
        <v/>
      </c>
      <c r="I20" s="32">
        <f>RANK(F20,$F$5:$F$36)</f>
        <v/>
      </c>
    </row>
    <row r="21" ht="15" customHeight="1" s="21">
      <c r="A21" s="29" t="inlineStr">
        <is>
          <t>湖北省</t>
        </is>
      </c>
      <c r="B21" s="30" t="n">
        <v>4139.55</v>
      </c>
      <c r="C21" s="30" t="n">
        <v>1924.51</v>
      </c>
      <c r="D21" s="30" t="n">
        <v>366.72</v>
      </c>
      <c r="E21" s="30">
        <f>B21+D21</f>
        <v/>
      </c>
      <c r="F21" s="31">
        <f>D21/E21</f>
        <v/>
      </c>
      <c r="G21" s="31">
        <f>C21/B21</f>
        <v/>
      </c>
      <c r="H21" s="32">
        <f>RANK(E21,$E$5:$E$36)</f>
        <v/>
      </c>
      <c r="I21" s="32">
        <f>RANK(F21,$F$5:$F$36)</f>
        <v/>
      </c>
    </row>
    <row r="22" ht="15" customHeight="1" s="21">
      <c r="A22" s="29" t="inlineStr">
        <is>
          <t>湖南省</t>
        </is>
      </c>
      <c r="B22" s="30" t="n">
        <v>4434.48</v>
      </c>
      <c r="C22" s="30" t="n">
        <v>1933.41</v>
      </c>
      <c r="D22" s="30" t="n">
        <v>279.7</v>
      </c>
      <c r="E22" s="30">
        <f>B22+D22</f>
        <v/>
      </c>
      <c r="F22" s="31">
        <f>D22/E22</f>
        <v/>
      </c>
      <c r="G22" s="31">
        <f>C22/B22</f>
        <v/>
      </c>
      <c r="H22" s="32">
        <f>RANK(E22,$E$5:$E$36)</f>
        <v/>
      </c>
      <c r="I22" s="32">
        <f>RANK(F22,$F$5:$F$36)</f>
        <v/>
      </c>
    </row>
    <row r="23" ht="15" customHeight="1" s="21">
      <c r="A23" s="29" t="inlineStr">
        <is>
          <t>广东省</t>
        </is>
      </c>
      <c r="B23" s="30" t="n">
        <v>1895.95</v>
      </c>
      <c r="C23" s="30" t="n">
        <v>922.28</v>
      </c>
      <c r="D23" s="30" t="n">
        <v>360.44</v>
      </c>
      <c r="E23" s="30">
        <f>B23+D23</f>
        <v/>
      </c>
      <c r="F23" s="31">
        <f>D23/E23</f>
        <v/>
      </c>
      <c r="G23" s="31">
        <f>C23/B23</f>
        <v/>
      </c>
      <c r="H23" s="32">
        <f>RANK(E23,$E$5:$E$36)</f>
        <v/>
      </c>
      <c r="I23" s="32">
        <f>RANK(F23,$F$5:$F$36)</f>
        <v/>
      </c>
    </row>
    <row r="24" ht="15" customHeight="1" s="21">
      <c r="A24" s="29" t="inlineStr">
        <is>
          <t>广西壮族自治区</t>
        </is>
      </c>
      <c r="B24" s="30" t="n">
        <v>3872.18</v>
      </c>
      <c r="C24" s="30" t="n">
        <v>1529</v>
      </c>
      <c r="D24" s="30" t="n">
        <v>200.86</v>
      </c>
      <c r="E24" s="30">
        <f>B24+D24</f>
        <v/>
      </c>
      <c r="F24" s="31">
        <f>D24/E24</f>
        <v/>
      </c>
      <c r="G24" s="31">
        <f>C24/B24</f>
        <v/>
      </c>
      <c r="H24" s="32">
        <f>RANK(E24,$E$5:$E$36)</f>
        <v/>
      </c>
      <c r="I24" s="32">
        <f>RANK(F24,$F$5:$F$36)</f>
        <v/>
      </c>
    </row>
    <row r="25" ht="15" customHeight="1" s="21">
      <c r="A25" s="29" t="inlineStr">
        <is>
          <t>海南省</t>
        </is>
      </c>
      <c r="B25" s="30" t="n">
        <v>929.9299999999999</v>
      </c>
      <c r="C25" s="30" t="n">
        <v>298.17</v>
      </c>
      <c r="D25" s="30" t="n">
        <v>297.13</v>
      </c>
      <c r="E25" s="30">
        <f>B25+D25</f>
        <v/>
      </c>
      <c r="F25" s="31">
        <f>D25/E25</f>
        <v/>
      </c>
      <c r="G25" s="31">
        <f>C25/B25</f>
        <v/>
      </c>
      <c r="H25" s="32">
        <f>RANK(E25,$E$5:$E$36)</f>
        <v/>
      </c>
      <c r="I25" s="32">
        <f>RANK(F25,$F$5:$F$36)</f>
        <v/>
      </c>
    </row>
    <row r="26" ht="15" customHeight="1" s="21">
      <c r="A26" s="29" t="inlineStr">
        <is>
          <t>重庆市</t>
        </is>
      </c>
      <c r="B26" s="30" t="n">
        <v>2061.77</v>
      </c>
      <c r="C26" s="30" t="n">
        <v>1112.94</v>
      </c>
      <c r="D26" s="30" t="n">
        <v>221.12</v>
      </c>
      <c r="E26" s="30">
        <f>B26+D26</f>
        <v/>
      </c>
      <c r="F26" s="31">
        <f>D26/E26</f>
        <v/>
      </c>
      <c r="G26" s="31">
        <f>C26/B26</f>
        <v/>
      </c>
      <c r="H26" s="32">
        <f>RANK(E26,$E$5:$E$36)</f>
        <v/>
      </c>
      <c r="I26" s="32">
        <f>RANK(F26,$F$5:$F$36)</f>
        <v/>
      </c>
    </row>
    <row r="27" ht="15" customHeight="1" s="21">
      <c r="A27" s="29" t="inlineStr">
        <is>
          <t>四川省</t>
        </is>
      </c>
      <c r="B27" s="30" t="n">
        <v>6059.36</v>
      </c>
      <c r="C27" s="30" t="n">
        <v>2906.81</v>
      </c>
      <c r="D27" s="30" t="n">
        <v>375.8</v>
      </c>
      <c r="E27" s="30">
        <f>B27+D27</f>
        <v/>
      </c>
      <c r="F27" s="31">
        <f>D27/E27</f>
        <v/>
      </c>
      <c r="G27" s="31">
        <f>C27/B27</f>
        <v/>
      </c>
      <c r="H27" s="32">
        <f>RANK(E27,$E$5:$E$36)</f>
        <v/>
      </c>
      <c r="I27" s="32">
        <f>RANK(F27,$F$5:$F$36)</f>
        <v/>
      </c>
    </row>
    <row r="28" ht="15" customHeight="1" s="21">
      <c r="A28" s="29" t="inlineStr">
        <is>
          <t>贵州省</t>
        </is>
      </c>
      <c r="B28" s="30" t="n">
        <v>3509.58</v>
      </c>
      <c r="C28" s="30" t="n">
        <v>1301.4</v>
      </c>
      <c r="D28" s="30" t="n">
        <v>201.65</v>
      </c>
      <c r="E28" s="30">
        <f>B28+D28</f>
        <v/>
      </c>
      <c r="F28" s="31">
        <f>D28/E28</f>
        <v/>
      </c>
      <c r="G28" s="31">
        <f>C28/B28</f>
        <v/>
      </c>
      <c r="H28" s="32">
        <f>RANK(E28,$E$5:$E$36)</f>
        <v/>
      </c>
      <c r="I28" s="32">
        <f>RANK(F28,$F$5:$F$36)</f>
        <v/>
      </c>
    </row>
    <row r="29" ht="15" customHeight="1" s="21">
      <c r="A29" s="29" t="inlineStr">
        <is>
          <t>云南省</t>
        </is>
      </c>
      <c r="B29" s="30" t="n">
        <v>3883.21</v>
      </c>
      <c r="C29" s="30" t="n">
        <v>1514.12</v>
      </c>
      <c r="D29" s="30" t="n">
        <v>268.32</v>
      </c>
      <c r="E29" s="30">
        <f>B29+D29</f>
        <v/>
      </c>
      <c r="F29" s="31">
        <f>D29/E29</f>
        <v/>
      </c>
      <c r="G29" s="31">
        <f>C29/B29</f>
        <v/>
      </c>
      <c r="H29" s="32">
        <f>RANK(E29,$E$5:$E$36)</f>
        <v/>
      </c>
      <c r="I29" s="32">
        <f>RANK(F29,$F$5:$F$36)</f>
        <v/>
      </c>
    </row>
    <row r="30" ht="15" customHeight="1" s="21">
      <c r="A30" s="29" t="inlineStr">
        <is>
          <t>西藏自治区</t>
        </is>
      </c>
      <c r="B30" s="30" t="n">
        <v>2235.2</v>
      </c>
      <c r="C30" s="30" t="n">
        <v>555.7</v>
      </c>
      <c r="D30" s="30" t="n">
        <v>295.64</v>
      </c>
      <c r="E30" s="30">
        <f>B30+D30</f>
        <v/>
      </c>
      <c r="F30" s="31">
        <f>D30/E30</f>
        <v/>
      </c>
      <c r="G30" s="31">
        <f>C30/B30</f>
        <v/>
      </c>
      <c r="H30" s="32">
        <f>RANK(E30,$E$5:$E$36)</f>
        <v/>
      </c>
      <c r="I30" s="32">
        <f>RANK(F30,$F$5:$F$36)</f>
        <v/>
      </c>
    </row>
    <row r="31" ht="15" customHeight="1" s="21">
      <c r="A31" s="29" t="inlineStr">
        <is>
          <t>陕西省</t>
        </is>
      </c>
      <c r="B31" s="30" t="n">
        <v>2934.06</v>
      </c>
      <c r="C31" s="30" t="n">
        <v>1332.21</v>
      </c>
      <c r="D31" s="30" t="n">
        <v>255.51</v>
      </c>
      <c r="E31" s="30">
        <f>B31+D31</f>
        <v/>
      </c>
      <c r="F31" s="31">
        <f>D31/E31</f>
        <v/>
      </c>
      <c r="G31" s="31">
        <f>C31/B31</f>
        <v/>
      </c>
      <c r="H31" s="32">
        <f>RANK(E31,$E$5:$E$36)</f>
        <v/>
      </c>
      <c r="I31" s="32">
        <f>RANK(F31,$F$5:$F$36)</f>
        <v/>
      </c>
    </row>
    <row r="32" ht="15" customHeight="1" s="21">
      <c r="A32" s="29" t="inlineStr">
        <is>
          <t>甘肃省</t>
        </is>
      </c>
      <c r="B32" s="30" t="n">
        <v>3032.89</v>
      </c>
      <c r="C32" s="30" t="n">
        <v>1063.03</v>
      </c>
      <c r="D32" s="30" t="n">
        <v>263.85</v>
      </c>
      <c r="E32" s="30">
        <f>B32+D32</f>
        <v/>
      </c>
      <c r="F32" s="31">
        <f>D32/E32</f>
        <v/>
      </c>
      <c r="G32" s="31">
        <f>C32/B32</f>
        <v/>
      </c>
      <c r="H32" s="32">
        <f>RANK(E32,$E$5:$E$36)</f>
        <v/>
      </c>
      <c r="I32" s="32">
        <f>RANK(F32,$F$5:$F$36)</f>
        <v/>
      </c>
    </row>
    <row r="33" ht="15" customHeight="1" s="21">
      <c r="A33" s="29" t="inlineStr">
        <is>
          <t>青海省</t>
        </is>
      </c>
      <c r="B33" s="30" t="n">
        <v>1460.3</v>
      </c>
      <c r="C33" s="30" t="n">
        <v>398.38</v>
      </c>
      <c r="D33" s="30" t="n">
        <v>182.13</v>
      </c>
      <c r="E33" s="30">
        <f>B33+D33</f>
        <v/>
      </c>
      <c r="F33" s="31">
        <f>D33/E33</f>
        <v/>
      </c>
      <c r="G33" s="31">
        <f>C33/B33</f>
        <v/>
      </c>
      <c r="H33" s="32">
        <f>RANK(E33,$E$5:$E$36)</f>
        <v/>
      </c>
      <c r="I33" s="32">
        <f>RANK(F33,$F$5:$F$36)</f>
        <v/>
      </c>
    </row>
    <row r="34" ht="15" customHeight="1" s="21">
      <c r="A34" s="29" t="inlineStr">
        <is>
          <t>宁夏回族自治区</t>
        </is>
      </c>
      <c r="B34" s="30" t="n">
        <v>1048.5</v>
      </c>
      <c r="C34" s="30" t="n">
        <v>286.96</v>
      </c>
      <c r="D34" s="30" t="n">
        <v>101.76</v>
      </c>
      <c r="E34" s="30">
        <f>B34+D34</f>
        <v/>
      </c>
      <c r="F34" s="31">
        <f>D34/E34</f>
        <v/>
      </c>
      <c r="G34" s="31">
        <f>C34/B34</f>
        <v/>
      </c>
      <c r="H34" s="32">
        <f>RANK(E34,$E$5:$E$36)</f>
        <v/>
      </c>
      <c r="I34" s="32">
        <f>RANK(F34,$F$5:$F$36)</f>
        <v/>
      </c>
    </row>
    <row r="35" ht="15" customHeight="1" s="21">
      <c r="A35" s="29" t="inlineStr">
        <is>
          <t>新疆维吾尔自治区</t>
        </is>
      </c>
      <c r="B35" s="30" t="n">
        <v>3557.51</v>
      </c>
      <c r="C35" s="30" t="n">
        <v>1258.42</v>
      </c>
      <c r="D35" s="30" t="n">
        <v>295</v>
      </c>
      <c r="E35" s="30">
        <f>B35+D35</f>
        <v/>
      </c>
      <c r="F35" s="31">
        <f>D35/E35</f>
        <v/>
      </c>
      <c r="G35" s="31">
        <f>C35/B35</f>
        <v/>
      </c>
      <c r="H35" s="32">
        <f>RANK(E35,$E$5:$E$36)</f>
        <v/>
      </c>
      <c r="I35" s="32">
        <f>RANK(F35,$F$5:$F$36)</f>
        <v/>
      </c>
    </row>
    <row r="36" ht="15" customHeight="1" s="21">
      <c r="A36" s="29" t="inlineStr">
        <is>
          <t>新疆生产建设兵团</t>
        </is>
      </c>
      <c r="B36" s="30" t="n">
        <v>976.25</v>
      </c>
      <c r="C36" s="30" t="n">
        <v>493.4</v>
      </c>
      <c r="D36" s="30" t="n">
        <v>137.71</v>
      </c>
      <c r="E36" s="30">
        <f>B36+D36</f>
        <v/>
      </c>
      <c r="F36" s="31">
        <f>D36/E36</f>
        <v/>
      </c>
      <c r="G36" s="31">
        <f>C36/B36</f>
        <v/>
      </c>
      <c r="H36" s="32">
        <f>RANK(E36,$E$5:$E$36)</f>
        <v/>
      </c>
      <c r="I36" s="32">
        <f>RANK(F36,$F$5:$F$36)</f>
        <v/>
      </c>
    </row>
    <row r="37" ht="15" customHeight="1" s="21">
      <c r="A37" s="33" t="inlineStr">
        <is>
          <t>32省市区+兵团 合计</t>
        </is>
      </c>
      <c r="B37" s="34">
        <f>SUM(B5:B36)</f>
        <v/>
      </c>
      <c r="C37" s="34">
        <f>SUM(C5:C36)</f>
        <v/>
      </c>
      <c r="D37" s="34">
        <f>SUM(D5:D36)</f>
        <v/>
      </c>
      <c r="E37" s="34">
        <f>SUM(E5:E36)</f>
        <v/>
      </c>
      <c r="F37" s="35">
        <f>D37/E37</f>
        <v/>
      </c>
      <c r="G37" s="35">
        <f>C37/B37</f>
        <v/>
      </c>
      <c r="H37" s="36" t="n"/>
      <c r="I37" s="36" t="n"/>
    </row>
    <row r="38" ht="15" customHeight="1" s="21">
      <c r="A38" s="37" t="inlineStr">
        <is>
          <t>全国合计（财政部口径）</t>
        </is>
      </c>
      <c r="B38" s="34" t="n">
        <v>87161.44</v>
      </c>
      <c r="C38" s="34" t="n">
        <v>37503.37</v>
      </c>
      <c r="D38" s="34" t="n">
        <v>8174.28</v>
      </c>
      <c r="E38" s="34">
        <f>B38+D38</f>
        <v/>
      </c>
      <c r="F38" s="35">
        <f>D38/E38</f>
        <v/>
      </c>
      <c r="G38" s="35">
        <f>C38/B38</f>
        <v/>
      </c>
      <c r="H38" s="36" t="n"/>
      <c r="I38" s="36" t="n"/>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D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8" customWidth="1" style="25" min="1" max="1"/>
    <col width="22" customWidth="1" style="25" min="2" max="2"/>
    <col width="18" customWidth="1" style="25" min="3" max="4"/>
  </cols>
  <sheetData>
    <row r="1" ht="17.35" customHeight="1" s="21">
      <c r="A1" s="38" t="inlineStr">
        <is>
          <t>三个适合做新闻角度的反直觉发现</t>
        </is>
      </c>
    </row>
    <row r="2" ht="12.65" customHeight="1" s="21">
      <c r="A2" s="27" t="inlineStr">
        <is>
          <t>下列结论仅基于财政部 2024 年决算分省数据，不依赖第三方</t>
        </is>
      </c>
    </row>
    <row r="4" ht="15" customHeight="1" s="21">
      <c r="A4" s="39" t="inlineStr">
        <is>
          <t>A. 拿到中央转移支付最多的 5 个地区（一般性+专项 决算）</t>
        </is>
      </c>
    </row>
    <row r="5" ht="15" customHeight="1" s="21">
      <c r="A5" s="28" t="inlineStr">
        <is>
          <t>排名</t>
        </is>
      </c>
      <c r="B5" s="28" t="inlineStr">
        <is>
          <t>地区</t>
        </is>
      </c>
      <c r="C5" s="28" t="inlineStr">
        <is>
          <t>总额（亿元）</t>
        </is>
      </c>
      <c r="D5" s="28" t="inlineStr">
        <is>
          <t>其中专项占比</t>
        </is>
      </c>
    </row>
    <row r="6" ht="15" customHeight="1" s="21">
      <c r="A6" s="29" t="n">
        <v>1</v>
      </c>
      <c r="B6" s="40" t="inlineStr">
        <is>
          <t>四川省</t>
        </is>
      </c>
      <c r="C6" s="41" t="n">
        <v>6435.16</v>
      </c>
      <c r="D6" s="31" t="n">
        <v>0.0583979263918846</v>
      </c>
    </row>
    <row r="7" ht="15" customHeight="1" s="21">
      <c r="A7" s="29" t="n">
        <v>2</v>
      </c>
      <c r="B7" s="40" t="inlineStr">
        <is>
          <t>河南省</t>
        </is>
      </c>
      <c r="C7" s="41" t="n">
        <v>5648.51</v>
      </c>
      <c r="D7" s="31" t="n">
        <v>0.053977066518427</v>
      </c>
    </row>
    <row r="8" ht="15" customHeight="1" s="21">
      <c r="A8" s="29" t="n">
        <v>3</v>
      </c>
      <c r="B8" s="40" t="inlineStr">
        <is>
          <t>湖南省</t>
        </is>
      </c>
      <c r="C8" s="41" t="n">
        <v>4714.18</v>
      </c>
      <c r="D8" s="31" t="n">
        <v>0.059331633497236</v>
      </c>
    </row>
    <row r="9" ht="15" customHeight="1" s="21">
      <c r="A9" s="29" t="n">
        <v>4</v>
      </c>
      <c r="B9" s="40" t="inlineStr">
        <is>
          <t>湖北省</t>
        </is>
      </c>
      <c r="C9" s="41" t="n">
        <v>4506.27</v>
      </c>
      <c r="D9" s="31" t="n">
        <v>0.0813799439447703</v>
      </c>
    </row>
    <row r="10" ht="15" customHeight="1" s="21">
      <c r="A10" s="29" t="n">
        <v>5</v>
      </c>
      <c r="B10" s="40" t="inlineStr">
        <is>
          <t>河北省</t>
        </is>
      </c>
      <c r="C10" s="41" t="n">
        <v>4305.8</v>
      </c>
      <c r="D10" s="31" t="n">
        <v>0.104679734311858</v>
      </c>
    </row>
    <row r="12" ht="15" customHeight="1" s="21">
      <c r="A12" s="39" t="inlineStr">
        <is>
          <t>B. 专项占比最高的 5 个地区（钱拿得多但用途被锁死）</t>
        </is>
      </c>
    </row>
    <row r="13" ht="15" customHeight="1" s="21">
      <c r="A13" s="28" t="inlineStr">
        <is>
          <t>排名</t>
        </is>
      </c>
      <c r="B13" s="28" t="inlineStr">
        <is>
          <t>地区</t>
        </is>
      </c>
      <c r="C13" s="28" t="inlineStr">
        <is>
          <t>专项占比</t>
        </is>
      </c>
      <c r="D13" s="28" t="inlineStr">
        <is>
          <t>总额（亿元）</t>
        </is>
      </c>
    </row>
    <row r="14" ht="15" customHeight="1" s="21">
      <c r="A14" s="29" t="n">
        <v>1</v>
      </c>
      <c r="B14" s="40" t="inlineStr">
        <is>
          <t>上海市</t>
        </is>
      </c>
      <c r="C14" s="31" t="n">
        <v>0.272636420297019</v>
      </c>
      <c r="D14" s="41" t="n">
        <v>930.58</v>
      </c>
    </row>
    <row r="15" ht="15" customHeight="1" s="21">
      <c r="A15" s="29" t="n">
        <v>2</v>
      </c>
      <c r="B15" s="40" t="inlineStr">
        <is>
          <t>海南省</t>
        </is>
      </c>
      <c r="C15" s="31" t="n">
        <v>0.242147898228286</v>
      </c>
      <c r="D15" s="41" t="n">
        <v>1227.06</v>
      </c>
    </row>
    <row r="16" ht="15" customHeight="1" s="21">
      <c r="A16" s="29" t="n">
        <v>3</v>
      </c>
      <c r="B16" s="40" t="inlineStr">
        <is>
          <t>浙江省</t>
        </is>
      </c>
      <c r="C16" s="31" t="n">
        <v>0.198719007643905</v>
      </c>
      <c r="D16" s="41" t="n">
        <v>1331.78</v>
      </c>
    </row>
    <row r="17" ht="15" customHeight="1" s="21">
      <c r="A17" s="29" t="n">
        <v>4</v>
      </c>
      <c r="B17" s="40" t="inlineStr">
        <is>
          <t>北京市</t>
        </is>
      </c>
      <c r="C17" s="31" t="n">
        <v>0.167252153977</v>
      </c>
      <c r="D17" s="41" t="n">
        <v>1352.15</v>
      </c>
    </row>
    <row r="18" ht="15" customHeight="1" s="21">
      <c r="A18" s="29" t="n">
        <v>5</v>
      </c>
      <c r="B18" s="40" t="inlineStr">
        <is>
          <t>广东省</t>
        </is>
      </c>
      <c r="C18" s="31" t="n">
        <v>0.159741888591954</v>
      </c>
      <c r="D18" s="41" t="n">
        <v>2256.39</v>
      </c>
    </row>
    <row r="20" ht="15" customHeight="1" s="21">
      <c r="A20" s="39" t="inlineStr">
        <is>
          <t>C. 专项占比最低的 5 个地区（一般性主导，地方调度自由度高）</t>
        </is>
      </c>
    </row>
    <row r="21" ht="15" customHeight="1" s="21">
      <c r="A21" s="28" t="inlineStr">
        <is>
          <t>排名</t>
        </is>
      </c>
      <c r="B21" s="28" t="inlineStr">
        <is>
          <t>地区</t>
        </is>
      </c>
      <c r="C21" s="28" t="inlineStr">
        <is>
          <t>专项占比</t>
        </is>
      </c>
      <c r="D21" s="28" t="inlineStr">
        <is>
          <t>总额（亿元）</t>
        </is>
      </c>
    </row>
    <row r="22" ht="15" customHeight="1" s="21">
      <c r="A22" s="29" t="n">
        <v>1</v>
      </c>
      <c r="B22" s="40" t="inlineStr">
        <is>
          <t>黑龙江省</t>
        </is>
      </c>
      <c r="C22" s="31" t="n">
        <v>0.0436011929203789</v>
      </c>
      <c r="D22" s="41" t="n">
        <v>4261.81</v>
      </c>
    </row>
    <row r="23" ht="15" customHeight="1" s="21">
      <c r="A23" s="29" t="n">
        <v>2</v>
      </c>
      <c r="B23" s="40" t="inlineStr">
        <is>
          <t>广西壮族自治区</t>
        </is>
      </c>
      <c r="C23" s="31" t="n">
        <v>0.0493145169210221</v>
      </c>
      <c r="D23" s="41" t="n">
        <v>4073.04</v>
      </c>
    </row>
    <row r="24" ht="15" customHeight="1" s="21">
      <c r="A24" s="29" t="n">
        <v>3</v>
      </c>
      <c r="B24" s="40" t="inlineStr">
        <is>
          <t>河南省</t>
        </is>
      </c>
      <c r="C24" s="31" t="n">
        <v>0.053977066518427</v>
      </c>
      <c r="D24" s="41" t="n">
        <v>5648.51</v>
      </c>
    </row>
    <row r="25" ht="15" customHeight="1" s="21">
      <c r="A25" s="29" t="n">
        <v>4</v>
      </c>
      <c r="B25" s="40" t="inlineStr">
        <is>
          <t>贵州省</t>
        </is>
      </c>
      <c r="C25" s="31" t="n">
        <v>0.0543350856724051</v>
      </c>
      <c r="D25" s="41" t="n">
        <v>3711.23</v>
      </c>
    </row>
    <row r="26" ht="15" customHeight="1" s="21">
      <c r="A26" s="29" t="n">
        <v>5</v>
      </c>
      <c r="B26" s="40" t="inlineStr">
        <is>
          <t>四川省</t>
        </is>
      </c>
      <c r="C26" s="31" t="n">
        <v>0.0583979263918846</v>
      </c>
      <c r="D26" s="41" t="n">
        <v>6435.16</v>
      </c>
    </row>
    <row r="28" ht="15" customHeight="1" s="21">
      <c r="A28" s="39" t="inlineStr">
        <is>
          <t>D. 三个标题候选</t>
        </is>
      </c>
    </row>
    <row r="29" ht="37.5" customHeight="1" s="21">
      <c r="A29" s="42" t="inlineStr">
        <is>
          <t>1. 专项不是"扶贫工具"，更像"项目工具"：上海专项占比 27.3% / 海南 24.2% / 浙江 19.9% / 北京 16.7%——拿钱最多的中西部大省（四川、河南、湖南、湖北、河北）专项占比都在 6-10%，反而是东部小省/直辖市占比最高。专项流向的是"项目密集地"而不是"财力薄弱地"。</t>
        </is>
      </c>
    </row>
    <row r="30" ht="37.5" customHeight="1" s="21">
      <c r="A30" s="42" t="inlineStr">
        <is>
          <t>2. "一般性"早就不一般：全国共同财政事权（教育、医保、养老等中央委托地方执行的事项）已经占到一般性转移支付的 43%。黑龙江（49%）、吉林（44%）、新疆兵团（51%）这条线接近或过半——这些省份"一般性"账面上的数额，相当一部分实际上是中央指定用途的支出。</t>
        </is>
      </c>
    </row>
    <row r="31" ht="37.5" customHeight="1" s="21">
      <c r="A31" s="42" t="inlineStr">
        <is>
          <t>3. 西藏的反直觉：一般性 2235 亿元（全国第 11 位），但专项占比只有 11.7%，共同事权占一般性也只有 24.9%。一头一尾都低，说明西藏拿到的钱主要走"均衡性 + 民族地区 + 老少边穷"等基本财力补助类，是 32 个地区中地方真正可自由调度比例最高的之一——这与上海（专项 27% + 共同事权 35%）形成镜像。</t>
        </is>
      </c>
    </row>
  </sheetData>
  <mergeCells count="9">
    <mergeCell ref="A1:D1"/>
    <mergeCell ref="A31:D31"/>
    <mergeCell ref="A12:D12"/>
    <mergeCell ref="A4:D4"/>
    <mergeCell ref="A20:D20"/>
    <mergeCell ref="A30:D30"/>
    <mergeCell ref="A29:D29"/>
    <mergeCell ref="A2:D2"/>
    <mergeCell ref="A28:D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1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2" customWidth="1" style="25" min="1" max="1"/>
    <col width="110" customWidth="1" style="25" min="2" max="2"/>
  </cols>
  <sheetData>
    <row r="1" ht="17.35" customHeight="1" s="21">
      <c r="A1" s="38" t="inlineStr">
        <is>
          <t>数据来源、口径与使用注意</t>
        </is>
      </c>
    </row>
    <row r="3" ht="27.75" customHeight="1" s="21">
      <c r="A3" s="43" t="inlineStr">
        <is>
          <t>发布机构</t>
        </is>
      </c>
      <c r="B3" s="44" t="inlineStr">
        <is>
          <t>中华人民共和国财政部 预算司</t>
        </is>
      </c>
    </row>
    <row r="4" ht="27.75" customHeight="1" s="21">
      <c r="A4" s="43" t="inlineStr">
        <is>
          <t>发布日期</t>
        </is>
      </c>
      <c r="B4" s="42" t="inlineStr">
        <is>
          <t>2025年7月15日</t>
        </is>
      </c>
    </row>
    <row r="5" ht="27.75" customHeight="1" s="21">
      <c r="A5" s="43" t="inlineStr">
        <is>
          <t>数据年份</t>
        </is>
      </c>
      <c r="B5" s="42" t="inlineStr">
        <is>
          <t>2024 年（决算）</t>
        </is>
      </c>
    </row>
    <row r="6" ht="27.75" customHeight="1" s="21">
      <c r="A6" s="43" t="inlineStr">
        <is>
          <t>一般性转移支付决算表</t>
        </is>
      </c>
      <c r="B6" s="42" t="inlineStr">
        <is>
          <t>http://yss.mof.gov.cn/2024zyjs/202507/t20250715_3967893.htm</t>
        </is>
      </c>
    </row>
    <row r="7" ht="27.75" customHeight="1" s="21">
      <c r="A7" s="43" t="inlineStr">
        <is>
          <t>专项转移支付决算表</t>
        </is>
      </c>
      <c r="B7" s="42" t="inlineStr">
        <is>
          <t>http://yss.mof.gov.cn/2024zyjs/202507/t20250715_3967891.htm</t>
        </is>
      </c>
    </row>
    <row r="8" ht="27.75" customHeight="1" s="21">
      <c r="A8" s="43" t="inlineStr">
        <is>
          <t>共同财政事权决算表</t>
        </is>
      </c>
      <c r="B8" s="42" t="inlineStr">
        <is>
          <t>http://yss.mof.gov.cn/2024zyjs/202507/t20250715_3967892.htm</t>
        </is>
      </c>
    </row>
    <row r="9" ht="27.75" customHeight="1" s="21">
      <c r="A9" s="43" t="inlineStr">
        <is>
          <t>决算说明（可直接引用）</t>
        </is>
      </c>
      <c r="B9" s="42" t="inlineStr">
        <is>
          <t>http://yss.mof.gov.cn/2024zyjs/202507/t20250715_3967895.htm</t>
        </is>
      </c>
    </row>
    <row r="10" ht="27.75" customHeight="1" s="21">
      <c r="A10" s="43" t="n"/>
      <c r="B10" s="44" t="n"/>
    </row>
    <row r="11" ht="27.75" customHeight="1" s="21">
      <c r="A11" s="43" t="inlineStr">
        <is>
          <t>口径 1：合并计划单列市</t>
        </is>
      </c>
      <c r="B11" s="44" t="inlineStr">
        <is>
          <t>财政部表中将大连、宁波、厦门、青岛、深圳与所属省并列。本表使用"辽宁省/浙江省/福建省/山东省/广东省"含计划单列市的合计行，不重复计入。</t>
        </is>
      </c>
    </row>
    <row r="12" ht="27.75" customHeight="1" s="21">
      <c r="A12" s="43" t="inlineStr">
        <is>
          <t>口径 2：未落实到地区数</t>
        </is>
      </c>
      <c r="B12" s="44" t="inlineStr">
        <is>
          <t>财政部表中的"未落实到地区数"（一般性 9232.11 / 专项 1693.39 / 共同事权 3313.70 亿元）出现在"2024年预算数"列，是预算公开时尚未按因素法分配到具体省份的资金（多为灾后重建、应急、临时增量等）。到决算口径时，资金已全部落地，因此 32 省（含兵团）的决算合计与官方决算合计一致。本表只采用决算列。</t>
        </is>
      </c>
    </row>
    <row r="13" ht="27.75" customHeight="1" s="21">
      <c r="A13" s="43" t="inlineStr">
        <is>
          <t>口径 3：转移支付完整口径</t>
        </is>
      </c>
      <c r="B13" s="44" t="inlineStr">
        <is>
          <t>本表只覆盖一般公共预算口径下的转移支付。完整口径还包括"政府性基金转移支付"和"国有资本经营转移支付"，规模较小但同源可查。</t>
        </is>
      </c>
    </row>
    <row r="14" ht="27.75" customHeight="1" s="21">
      <c r="A14" s="43" t="inlineStr">
        <is>
          <t>口径 4：兵团单列</t>
        </is>
      </c>
      <c r="B14" s="44" t="inlineStr">
        <is>
          <t>新疆生产建设兵团在财政部表中独立于新疆维吾尔自治区列示，本表保留这一处理。</t>
        </is>
      </c>
    </row>
    <row r="15" ht="27.75" customHeight="1" s="21">
      <c r="A15" s="43" t="inlineStr">
        <is>
          <t>口径 5：共同财政事权</t>
        </is>
      </c>
      <c r="B15" s="44" t="inlineStr">
        <is>
          <t>属于一般性转移支付的下级科目。"共同财政事权占一般性比"展示"一般性"中实质上是中央委托地方执行的支出（教育、医保、养老等）所占份额。</t>
        </is>
      </c>
    </row>
    <row r="16" ht="27.75" customHeight="1" s="21">
      <c r="A16" s="43" t="n"/>
      <c r="B16" s="44" t="n"/>
    </row>
    <row r="17" ht="27.75" customHeight="1" s="21">
      <c r="A17" s="43" t="inlineStr">
        <is>
          <t>数据校验</t>
        </is>
      </c>
      <c r="B17" s="42" t="inlineStr">
        <is>
          <t>32 个地区一般性决算合计 = 87161.44，与财政部决算合计完全一致；专项决算合计 = 8174.26，与官方 8174.28 差额仅来自小数取舍。</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2026-05-10T08:40:53Z</dcterms:created>
  <dcterms:modified xmlns:dcterms="http://purl.org/dc/terms/" xmlns:xsi="http://www.w3.org/2001/XMLSchema-instance" xsi:type="dcterms:W3CDTF">2026-05-10T19:18:33Z</dcterms:modified>
  <cp:revision>0</cp:revision>
</cp:coreProperties>
</file>